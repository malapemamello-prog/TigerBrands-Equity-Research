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5.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xml" ContentType="application/vnd.openxmlformats-officedocument.drawing+xml"/>
  <Override PartName="/xl/comments6.xml" ContentType="application/vnd.openxmlformats-officedocument.spreadsheetml.comment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023232750\Downloads\"/>
    </mc:Choice>
  </mc:AlternateContent>
  <xr:revisionPtr revIDLastSave="0" documentId="13_ncr:1_{80DDD938-B804-42F2-B0D2-75F331F86102}" xr6:coauthVersionLast="47" xr6:coauthVersionMax="47" xr10:uidLastSave="{00000000-0000-0000-0000-000000000000}"/>
  <bookViews>
    <workbookView xWindow="-120" yWindow="-120" windowWidth="29040" windowHeight="15720" tabRatio="500" firstSheet="6" activeTab="8" xr2:uid="{00000000-000D-0000-FFFF-FFFF00000000}"/>
  </bookViews>
  <sheets>
    <sheet name="Fixed Assts" sheetId="15" r:id="rId1"/>
    <sheet name="Net Working Capital" sheetId="16" r:id="rId2"/>
    <sheet name="WACC" sheetId="9" r:id="rId3"/>
    <sheet name="DCF" sheetId="10" r:id="rId4"/>
    <sheet name="Scenario Analysis" sheetId="11" r:id="rId5"/>
    <sheet name="Free Cash Flow" sheetId="8" r:id="rId6"/>
    <sheet name="Financial Analysis" sheetId="2" r:id="rId7"/>
    <sheet name="Data &amp; Calculations&gt;&gt;" sheetId="17" r:id="rId8"/>
    <sheet name="Income Statemnt" sheetId="1" r:id="rId9"/>
    <sheet name="Cash flow" sheetId="4" r:id="rId10"/>
    <sheet name="Balance sheet"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2" l="1"/>
  <c r="D71" i="2"/>
  <c r="C71" i="2"/>
  <c r="B71" i="2"/>
  <c r="C20" i="10"/>
  <c r="C15" i="10"/>
  <c r="C14" i="10"/>
  <c r="I8" i="10"/>
  <c r="G22" i="8"/>
  <c r="C16" i="10"/>
  <c r="K6" i="2"/>
  <c r="C57" i="2"/>
  <c r="B55" i="2"/>
  <c r="C55" i="2"/>
  <c r="F55" i="2"/>
  <c r="C47" i="2"/>
  <c r="D47" i="2"/>
  <c r="E47" i="2"/>
  <c r="F47" i="2"/>
  <c r="B47" i="2"/>
  <c r="C43" i="2"/>
  <c r="D43" i="2"/>
  <c r="D44" i="2" s="1"/>
  <c r="E43" i="2"/>
  <c r="E44" i="2" s="1"/>
  <c r="F43" i="2"/>
  <c r="F44" i="2" s="1"/>
  <c r="K4" i="2"/>
  <c r="K3" i="2"/>
  <c r="K2" i="2"/>
  <c r="D6" i="15"/>
  <c r="E6" i="15"/>
  <c r="F6" i="15"/>
  <c r="G6" i="15"/>
  <c r="H6" i="15"/>
  <c r="I6" i="15"/>
  <c r="J6" i="15"/>
  <c r="K6" i="15"/>
  <c r="L6" i="15"/>
  <c r="C6" i="15"/>
  <c r="C8" i="15"/>
  <c r="H10" i="8"/>
  <c r="B13" i="8"/>
  <c r="I7" i="1"/>
  <c r="J7" i="1" s="1"/>
  <c r="K7" i="1" s="1"/>
  <c r="L7" i="1" s="1"/>
  <c r="G6" i="2"/>
  <c r="H7" i="1"/>
  <c r="H8" i="1" s="1"/>
  <c r="F6" i="2"/>
  <c r="E6" i="2"/>
  <c r="D6" i="2"/>
  <c r="C6" i="2"/>
  <c r="B6" i="2"/>
  <c r="D57" i="2"/>
  <c r="E57" i="2"/>
  <c r="F57" i="2"/>
  <c r="B57" i="2"/>
  <c r="W7" i="1"/>
  <c r="C41" i="2"/>
  <c r="D41" i="2"/>
  <c r="D42" i="2" s="1"/>
  <c r="E41" i="2"/>
  <c r="F41" i="2"/>
  <c r="F42" i="2" s="1"/>
  <c r="B41" i="2"/>
  <c r="C4" i="2"/>
  <c r="D4" i="2"/>
  <c r="E4" i="2"/>
  <c r="F4" i="2"/>
  <c r="B4" i="2"/>
  <c r="D2" i="2"/>
  <c r="E2" i="2"/>
  <c r="F2" i="2"/>
  <c r="G2" i="2"/>
  <c r="H2" i="2"/>
  <c r="I2" i="2"/>
  <c r="J2" i="2"/>
  <c r="C2" i="2"/>
  <c r="B2" i="2"/>
  <c r="B32" i="2"/>
  <c r="G10" i="8"/>
  <c r="B34" i="2"/>
  <c r="C34" i="2"/>
  <c r="D34" i="2"/>
  <c r="E34" i="2"/>
  <c r="F34" i="2"/>
  <c r="C8" i="2"/>
  <c r="D8" i="2"/>
  <c r="E8" i="2"/>
  <c r="F8" i="2"/>
  <c r="B8" i="2"/>
  <c r="C13" i="2"/>
  <c r="D13" i="2"/>
  <c r="E13" i="2"/>
  <c r="F13" i="2"/>
  <c r="B13" i="2"/>
  <c r="C3" i="2"/>
  <c r="D3" i="2"/>
  <c r="E3" i="2"/>
  <c r="F3" i="2"/>
  <c r="B3" i="2"/>
  <c r="B63" i="2"/>
  <c r="V3" i="11"/>
  <c r="D8" i="16"/>
  <c r="E8" i="16"/>
  <c r="F8" i="16"/>
  <c r="G8" i="16"/>
  <c r="H8" i="16"/>
  <c r="I8" i="16"/>
  <c r="K18" i="4"/>
  <c r="L18" i="4"/>
  <c r="J18" i="4"/>
  <c r="I18" i="4"/>
  <c r="H18" i="4"/>
  <c r="P14" i="4"/>
  <c r="Q14" i="4"/>
  <c r="R14" i="4"/>
  <c r="S14" i="4"/>
  <c r="O14" i="4"/>
  <c r="H14" i="1"/>
  <c r="H11" i="1"/>
  <c r="O15" i="4"/>
  <c r="O9" i="4"/>
  <c r="O8" i="4"/>
  <c r="S10" i="1"/>
  <c r="P10" i="1"/>
  <c r="Q10" i="1"/>
  <c r="R10" i="1"/>
  <c r="T10" i="1"/>
  <c r="O10" i="1"/>
  <c r="H51" i="4"/>
  <c r="H35" i="4"/>
  <c r="H6" i="4"/>
  <c r="H5" i="4"/>
  <c r="H17" i="5"/>
  <c r="T14" i="4"/>
  <c r="D7" i="15"/>
  <c r="E7" i="15"/>
  <c r="F7" i="15"/>
  <c r="G7" i="15"/>
  <c r="C7" i="15"/>
  <c r="O10" i="11"/>
  <c r="O11" i="11"/>
  <c r="E11" i="16"/>
  <c r="F11" i="16"/>
  <c r="G11" i="16"/>
  <c r="H11" i="16"/>
  <c r="E12" i="16"/>
  <c r="F12" i="16"/>
  <c r="G12" i="16"/>
  <c r="H12" i="16"/>
  <c r="E13" i="16"/>
  <c r="F13" i="16"/>
  <c r="G13" i="16"/>
  <c r="H13" i="16"/>
  <c r="E14" i="16"/>
  <c r="F14" i="16"/>
  <c r="G14" i="16"/>
  <c r="H14" i="16"/>
  <c r="I14" i="16"/>
  <c r="J14" i="16"/>
  <c r="K14" i="16"/>
  <c r="L14" i="16"/>
  <c r="M14" i="16"/>
  <c r="E15" i="16"/>
  <c r="F15" i="16"/>
  <c r="G15" i="16"/>
  <c r="H15" i="16"/>
  <c r="D12" i="16"/>
  <c r="D13" i="16"/>
  <c r="D14" i="16"/>
  <c r="D15" i="16"/>
  <c r="D11" i="16"/>
  <c r="B21" i="8" s="1"/>
  <c r="E5" i="16"/>
  <c r="F5" i="16"/>
  <c r="G5" i="16"/>
  <c r="H5" i="16"/>
  <c r="E6" i="16"/>
  <c r="F6" i="16"/>
  <c r="G6" i="16"/>
  <c r="H6" i="16"/>
  <c r="E7" i="16"/>
  <c r="C20" i="8" s="1"/>
  <c r="F7" i="16"/>
  <c r="D20" i="8" s="1"/>
  <c r="G7" i="16"/>
  <c r="E20" i="8" s="1"/>
  <c r="H7" i="16"/>
  <c r="F20" i="8" s="1"/>
  <c r="I7" i="16"/>
  <c r="G20" i="8" s="1"/>
  <c r="J7" i="16"/>
  <c r="K7" i="16"/>
  <c r="L7" i="16"/>
  <c r="M7" i="16"/>
  <c r="D6" i="16"/>
  <c r="D7" i="16"/>
  <c r="B20" i="8" s="1"/>
  <c r="D5" i="16"/>
  <c r="D17" i="16" s="1"/>
  <c r="D8" i="15"/>
  <c r="E5" i="15" s="1"/>
  <c r="E8" i="15"/>
  <c r="F5" i="15" s="1"/>
  <c r="F8" i="15"/>
  <c r="G5" i="15" s="1"/>
  <c r="G8" i="15"/>
  <c r="H5" i="15" s="1"/>
  <c r="H21" i="5"/>
  <c r="N4" i="8"/>
  <c r="Q10" i="5"/>
  <c r="R10" i="5"/>
  <c r="S10" i="5"/>
  <c r="T10" i="5"/>
  <c r="P10" i="5"/>
  <c r="Q7" i="5"/>
  <c r="R7" i="5"/>
  <c r="S7" i="5"/>
  <c r="T7" i="5"/>
  <c r="P7" i="5"/>
  <c r="B16" i="8"/>
  <c r="F16" i="8"/>
  <c r="O4" i="8"/>
  <c r="P4" i="8"/>
  <c r="Q4" i="8"/>
  <c r="R4" i="8"/>
  <c r="C16" i="8"/>
  <c r="D16" i="8"/>
  <c r="E16" i="8"/>
  <c r="D3" i="9"/>
  <c r="C10" i="1"/>
  <c r="Q9" i="5"/>
  <c r="R9" i="5"/>
  <c r="S9" i="5"/>
  <c r="T9" i="5"/>
  <c r="P9" i="5"/>
  <c r="R22" i="5"/>
  <c r="I11" i="1"/>
  <c r="J11" i="1" s="1"/>
  <c r="K11" i="1" s="1"/>
  <c r="L11" i="1" s="1"/>
  <c r="H13" i="1"/>
  <c r="I13" i="1" s="1"/>
  <c r="J13" i="1" s="1"/>
  <c r="K13" i="1" s="1"/>
  <c r="L13" i="1" s="1"/>
  <c r="H12" i="1"/>
  <c r="I12" i="1" s="1"/>
  <c r="J12" i="1" s="1"/>
  <c r="K12" i="1" s="1"/>
  <c r="L12" i="1" s="1"/>
  <c r="R24" i="5"/>
  <c r="R23" i="5"/>
  <c r="B17" i="8"/>
  <c r="B22" i="8" s="1"/>
  <c r="D5" i="10" s="1"/>
  <c r="D10" i="1"/>
  <c r="C7" i="8" s="1"/>
  <c r="E10" i="1"/>
  <c r="D7" i="8" s="1"/>
  <c r="F10" i="1"/>
  <c r="E7" i="8" s="1"/>
  <c r="G10" i="1"/>
  <c r="C13" i="8"/>
  <c r="D13" i="8"/>
  <c r="E13" i="8"/>
  <c r="F13" i="8"/>
  <c r="C17" i="8"/>
  <c r="D17" i="8"/>
  <c r="E17" i="8"/>
  <c r="F17" i="8"/>
  <c r="H50" i="5"/>
  <c r="I50" i="5" s="1"/>
  <c r="J50" i="5" s="1"/>
  <c r="K50" i="5" s="1"/>
  <c r="H41" i="5"/>
  <c r="I41" i="5" s="1"/>
  <c r="J41" i="5" s="1"/>
  <c r="K41" i="5" s="1"/>
  <c r="L41" i="5" s="1"/>
  <c r="Q4" i="4"/>
  <c r="R4" i="4"/>
  <c r="S4" i="4"/>
  <c r="P4" i="4"/>
  <c r="P12" i="4"/>
  <c r="Q12" i="4"/>
  <c r="R12" i="4"/>
  <c r="S12" i="4"/>
  <c r="T12" i="4"/>
  <c r="H26" i="1"/>
  <c r="I26" i="1" s="1"/>
  <c r="I14" i="1"/>
  <c r="J14" i="1" s="1"/>
  <c r="K14" i="1" s="1"/>
  <c r="L14" i="1" s="1"/>
  <c r="W6" i="1"/>
  <c r="D14" i="5"/>
  <c r="E14" i="5"/>
  <c r="F14" i="5"/>
  <c r="C23" i="2"/>
  <c r="D13" i="9"/>
  <c r="D16" i="9" s="1"/>
  <c r="D19" i="9" s="1"/>
  <c r="C13" i="10" s="1"/>
  <c r="F16" i="10" s="1"/>
  <c r="Q8" i="5"/>
  <c r="B12" i="2"/>
  <c r="C9" i="2"/>
  <c r="D9" i="2"/>
  <c r="E9" i="2"/>
  <c r="F9" i="2"/>
  <c r="B9" i="2"/>
  <c r="E10" i="2"/>
  <c r="F10" i="2"/>
  <c r="C10" i="2"/>
  <c r="D10" i="2"/>
  <c r="F24" i="2"/>
  <c r="E24" i="2"/>
  <c r="D24" i="2"/>
  <c r="C24" i="2"/>
  <c r="B24" i="2"/>
  <c r="C18" i="10"/>
  <c r="C17" i="10"/>
  <c r="D15" i="9"/>
  <c r="O8" i="1"/>
  <c r="B17" i="2"/>
  <c r="C17" i="2"/>
  <c r="D17" i="2"/>
  <c r="E17" i="2"/>
  <c r="F17" i="2"/>
  <c r="B7" i="8"/>
  <c r="L50" i="5"/>
  <c r="Q11" i="5"/>
  <c r="R11" i="5"/>
  <c r="S11" i="5"/>
  <c r="T11" i="5"/>
  <c r="P11" i="5"/>
  <c r="U11" i="5"/>
  <c r="R8" i="5"/>
  <c r="S8" i="5"/>
  <c r="T8" i="5"/>
  <c r="P8" i="5"/>
  <c r="S6" i="5"/>
  <c r="T6" i="5"/>
  <c r="R6" i="5"/>
  <c r="Q6" i="5"/>
  <c r="Q5" i="5"/>
  <c r="R5" i="5"/>
  <c r="S5" i="5"/>
  <c r="T5" i="5"/>
  <c r="P5" i="5"/>
  <c r="T16" i="4"/>
  <c r="D42" i="4"/>
  <c r="E42" i="4"/>
  <c r="F42" i="4"/>
  <c r="G42" i="4"/>
  <c r="C42" i="4"/>
  <c r="C16" i="4"/>
  <c r="S15" i="4"/>
  <c r="P15" i="4"/>
  <c r="Q15" i="4"/>
  <c r="R15" i="4"/>
  <c r="T15" i="4"/>
  <c r="P7" i="4"/>
  <c r="Q7" i="4"/>
  <c r="R7" i="4"/>
  <c r="S7" i="4"/>
  <c r="O7" i="4"/>
  <c r="P8" i="4"/>
  <c r="Q8" i="4"/>
  <c r="R8" i="4"/>
  <c r="S8" i="4"/>
  <c r="S13" i="4"/>
  <c r="P13" i="4"/>
  <c r="Q13" i="4"/>
  <c r="R13" i="4"/>
  <c r="O13" i="4"/>
  <c r="T13" i="4"/>
  <c r="P5" i="4"/>
  <c r="Q5" i="4"/>
  <c r="R5" i="4"/>
  <c r="S5" i="4"/>
  <c r="O5" i="4"/>
  <c r="T5" i="4"/>
  <c r="O9" i="1"/>
  <c r="P13" i="1"/>
  <c r="Q13" i="1"/>
  <c r="R13" i="1"/>
  <c r="S13" i="1"/>
  <c r="O13" i="1"/>
  <c r="T13" i="1"/>
  <c r="R12" i="1"/>
  <c r="P12" i="1"/>
  <c r="Q12" i="1"/>
  <c r="S12" i="1"/>
  <c r="O12" i="1"/>
  <c r="T12" i="1"/>
  <c r="P11" i="1"/>
  <c r="Q11" i="1"/>
  <c r="R11" i="1"/>
  <c r="S11" i="1"/>
  <c r="O11" i="1"/>
  <c r="O7" i="1"/>
  <c r="P8" i="1"/>
  <c r="Q8" i="1"/>
  <c r="R8" i="1"/>
  <c r="S8" i="1"/>
  <c r="C19" i="10"/>
  <c r="C5" i="8"/>
  <c r="D5" i="8"/>
  <c r="E5" i="8"/>
  <c r="F5" i="8"/>
  <c r="C4" i="8"/>
  <c r="C6" i="8"/>
  <c r="D4" i="8"/>
  <c r="D6" i="8"/>
  <c r="E4" i="8"/>
  <c r="E6" i="8"/>
  <c r="E9" i="8" s="1"/>
  <c r="E12" i="8" s="1"/>
  <c r="F4" i="8"/>
  <c r="F6" i="8"/>
  <c r="B5" i="8"/>
  <c r="B4" i="8"/>
  <c r="B19" i="8"/>
  <c r="B6" i="8"/>
  <c r="B9" i="8" s="1"/>
  <c r="B12" i="8" s="1"/>
  <c r="B15" i="8" s="1"/>
  <c r="P6" i="1"/>
  <c r="O5" i="11" s="1"/>
  <c r="T8" i="4"/>
  <c r="T7" i="4"/>
  <c r="H10" i="4" s="1"/>
  <c r="P11" i="4"/>
  <c r="Q11" i="4"/>
  <c r="R11" i="4"/>
  <c r="S11" i="4"/>
  <c r="Q10" i="4"/>
  <c r="R10" i="4"/>
  <c r="S10" i="4"/>
  <c r="P10" i="4"/>
  <c r="T10" i="4"/>
  <c r="P9" i="4"/>
  <c r="Q9" i="4"/>
  <c r="R9" i="4"/>
  <c r="T9" i="4" s="1"/>
  <c r="S9" i="4"/>
  <c r="F48" i="2"/>
  <c r="F52" i="2" s="1"/>
  <c r="F18" i="2"/>
  <c r="D8" i="1"/>
  <c r="E8" i="1"/>
  <c r="F8" i="1"/>
  <c r="G8" i="1"/>
  <c r="C8" i="1"/>
  <c r="D22" i="1"/>
  <c r="E22" i="1"/>
  <c r="C22" i="1"/>
  <c r="C19" i="2"/>
  <c r="C40" i="1"/>
  <c r="Q12" i="5"/>
  <c r="R12" i="5"/>
  <c r="S12" i="5"/>
  <c r="T12" i="5"/>
  <c r="U10" i="5"/>
  <c r="U9" i="5"/>
  <c r="U8" i="5"/>
  <c r="U7" i="5"/>
  <c r="U6" i="5"/>
  <c r="H9" i="5" s="1"/>
  <c r="U5" i="5"/>
  <c r="H6" i="5" s="1"/>
  <c r="F60" i="2"/>
  <c r="E60" i="2"/>
  <c r="D60" i="2"/>
  <c r="C60" i="2"/>
  <c r="B60" i="2"/>
  <c r="F59" i="2"/>
  <c r="E59" i="2"/>
  <c r="D59" i="2"/>
  <c r="C59" i="2"/>
  <c r="B59" i="2"/>
  <c r="F56" i="2"/>
  <c r="E56" i="2"/>
  <c r="D56" i="2"/>
  <c r="C56" i="2"/>
  <c r="B56" i="2"/>
  <c r="E55" i="2"/>
  <c r="D55" i="2"/>
  <c r="F49" i="2"/>
  <c r="F53" i="2" s="1"/>
  <c r="E49" i="2"/>
  <c r="D49" i="2"/>
  <c r="C49" i="2"/>
  <c r="B49" i="2"/>
  <c r="B53" i="2" s="1"/>
  <c r="E48" i="2"/>
  <c r="E52" i="2" s="1"/>
  <c r="D48" i="2"/>
  <c r="D52" i="2" s="1"/>
  <c r="C48" i="2"/>
  <c r="C52" i="2" s="1"/>
  <c r="B48" i="2"/>
  <c r="B52" i="2" s="1"/>
  <c r="B43" i="2"/>
  <c r="F40" i="2"/>
  <c r="E40" i="2"/>
  <c r="D40" i="2"/>
  <c r="C40" i="2"/>
  <c r="F39" i="2"/>
  <c r="E39" i="2"/>
  <c r="D39" i="2"/>
  <c r="C39" i="2"/>
  <c r="F38" i="2"/>
  <c r="E38" i="2"/>
  <c r="D38" i="2"/>
  <c r="C38" i="2"/>
  <c r="F36" i="2"/>
  <c r="E36" i="2"/>
  <c r="D36" i="2"/>
  <c r="C36" i="2"/>
  <c r="F35" i="2"/>
  <c r="E35" i="2"/>
  <c r="D35" i="2"/>
  <c r="C35" i="2"/>
  <c r="B35" i="2"/>
  <c r="F33" i="2"/>
  <c r="E33" i="2"/>
  <c r="D33" i="2"/>
  <c r="C33" i="2"/>
  <c r="B33" i="2"/>
  <c r="F32" i="2"/>
  <c r="E32" i="2"/>
  <c r="D32" i="2"/>
  <c r="C32" i="2"/>
  <c r="F25" i="2"/>
  <c r="E25" i="2"/>
  <c r="D25" i="2"/>
  <c r="C25" i="2"/>
  <c r="F23" i="2"/>
  <c r="E23" i="2"/>
  <c r="E26" i="2" s="1"/>
  <c r="D23" i="2"/>
  <c r="F20" i="2"/>
  <c r="F21" i="2"/>
  <c r="E20" i="2"/>
  <c r="E21" i="2"/>
  <c r="D20" i="2"/>
  <c r="D21" i="2"/>
  <c r="C20" i="2"/>
  <c r="C21" i="2" s="1"/>
  <c r="B20" i="2"/>
  <c r="B21" i="2"/>
  <c r="F19" i="2"/>
  <c r="E19" i="2"/>
  <c r="D19" i="2"/>
  <c r="B19" i="2"/>
  <c r="E18" i="2"/>
  <c r="D18" i="2"/>
  <c r="C18" i="2"/>
  <c r="B18" i="2"/>
  <c r="F12" i="2"/>
  <c r="E12" i="2"/>
  <c r="D12" i="2"/>
  <c r="C12" i="2"/>
  <c r="F11" i="2"/>
  <c r="E11" i="2"/>
  <c r="D11" i="2"/>
  <c r="C11" i="2"/>
  <c r="F7" i="2"/>
  <c r="E7" i="2"/>
  <c r="D7" i="2"/>
  <c r="C7" i="2"/>
  <c r="B7" i="2"/>
  <c r="S9" i="1"/>
  <c r="R9" i="1"/>
  <c r="Q9" i="1"/>
  <c r="P9" i="1"/>
  <c r="T8" i="1"/>
  <c r="S7" i="1"/>
  <c r="R7" i="1"/>
  <c r="Q7" i="1"/>
  <c r="P7" i="1"/>
  <c r="T7" i="1"/>
  <c r="S6" i="1"/>
  <c r="O6" i="11" s="1"/>
  <c r="R6" i="1"/>
  <c r="Q6" i="1"/>
  <c r="I9" i="5"/>
  <c r="J9" i="5"/>
  <c r="K9" i="5"/>
  <c r="L9" i="5"/>
  <c r="T11" i="4"/>
  <c r="H42" i="5"/>
  <c r="U12" i="5"/>
  <c r="B54" i="2"/>
  <c r="I42" i="5"/>
  <c r="J42" i="5"/>
  <c r="K42" i="5"/>
  <c r="L42" i="5"/>
  <c r="O20" i="11"/>
  <c r="B12" i="11" s="1"/>
  <c r="P20" i="11"/>
  <c r="C12" i="11" s="1"/>
  <c r="Q20" i="11"/>
  <c r="D12" i="11" s="1"/>
  <c r="R20" i="11"/>
  <c r="E12" i="11" s="1"/>
  <c r="P21" i="11"/>
  <c r="Q21" i="11"/>
  <c r="R21" i="11"/>
  <c r="O21" i="11"/>
  <c r="T11" i="1"/>
  <c r="S21" i="11"/>
  <c r="S20" i="11"/>
  <c r="F12" i="11"/>
  <c r="D8" i="9"/>
  <c r="D6" i="9"/>
  <c r="D9" i="9"/>
  <c r="O25" i="11"/>
  <c r="O30" i="11"/>
  <c r="P5" i="11"/>
  <c r="O31" i="11"/>
  <c r="O26" i="11"/>
  <c r="P6" i="11"/>
  <c r="T4" i="4"/>
  <c r="I5" i="4"/>
  <c r="J5" i="4"/>
  <c r="K5" i="4"/>
  <c r="L5" i="4"/>
  <c r="H12" i="4"/>
  <c r="I12" i="4"/>
  <c r="J12" i="4"/>
  <c r="K12" i="4"/>
  <c r="L12" i="4"/>
  <c r="I35" i="4"/>
  <c r="I43" i="4"/>
  <c r="J35" i="4"/>
  <c r="J43" i="4"/>
  <c r="K35" i="4"/>
  <c r="K43" i="4"/>
  <c r="L35" i="4"/>
  <c r="L43" i="4"/>
  <c r="H43" i="4"/>
  <c r="L10" i="4"/>
  <c r="K10" i="4"/>
  <c r="J10" i="4"/>
  <c r="I10" i="4"/>
  <c r="T9" i="1"/>
  <c r="P31" i="11"/>
  <c r="P26" i="11"/>
  <c r="Q6" i="11"/>
  <c r="P30" i="11"/>
  <c r="P25" i="11"/>
  <c r="Q5" i="11"/>
  <c r="Q30" i="11"/>
  <c r="Q25" i="11"/>
  <c r="R5" i="11"/>
  <c r="Q31" i="11"/>
  <c r="Q26" i="11"/>
  <c r="R6" i="11"/>
  <c r="R31" i="11"/>
  <c r="R26" i="11"/>
  <c r="S6" i="11"/>
  <c r="R30" i="11"/>
  <c r="R25" i="11"/>
  <c r="S5" i="11"/>
  <c r="S30" i="11"/>
  <c r="S25" i="11"/>
  <c r="S31" i="11"/>
  <c r="S26" i="11"/>
  <c r="D26" i="2" l="1"/>
  <c r="F26" i="2"/>
  <c r="C26" i="2"/>
  <c r="C42" i="2"/>
  <c r="C44" i="2"/>
  <c r="E42" i="2"/>
  <c r="F54" i="2"/>
  <c r="C5" i="15"/>
  <c r="D5" i="15"/>
  <c r="H45" i="5"/>
  <c r="I11" i="16" s="1"/>
  <c r="G4" i="2"/>
  <c r="C53" i="2"/>
  <c r="C54" i="2"/>
  <c r="D54" i="2"/>
  <c r="D53" i="2"/>
  <c r="E53" i="2"/>
  <c r="E54" i="2"/>
  <c r="S4" i="8"/>
  <c r="H17" i="16"/>
  <c r="G17" i="16"/>
  <c r="F17" i="16"/>
  <c r="E17" i="16"/>
  <c r="F21" i="8"/>
  <c r="F19" i="8" s="1"/>
  <c r="E21" i="8"/>
  <c r="E19" i="8" s="1"/>
  <c r="D21" i="8"/>
  <c r="D19" i="8" s="1"/>
  <c r="C21" i="8"/>
  <c r="C19" i="8" s="1"/>
  <c r="L23" i="1"/>
  <c r="K23" i="1"/>
  <c r="J23" i="1"/>
  <c r="I23" i="1"/>
  <c r="H23" i="1"/>
  <c r="I6" i="5"/>
  <c r="H7" i="15"/>
  <c r="P11" i="11"/>
  <c r="P10" i="11"/>
  <c r="O9" i="11"/>
  <c r="H4" i="2"/>
  <c r="F7" i="8"/>
  <c r="O16" i="11"/>
  <c r="O15" i="11"/>
  <c r="I17" i="5"/>
  <c r="J5" i="16" s="1"/>
  <c r="I5" i="16"/>
  <c r="G16" i="8"/>
  <c r="H16" i="8"/>
  <c r="C18" i="8"/>
  <c r="C22" i="8" s="1"/>
  <c r="E5" i="10" s="1"/>
  <c r="T6" i="1"/>
  <c r="H6" i="1" s="1"/>
  <c r="F9" i="8"/>
  <c r="D9" i="8"/>
  <c r="C9" i="8"/>
  <c r="F12" i="8"/>
  <c r="F15" i="8" s="1"/>
  <c r="D12" i="8"/>
  <c r="D15" i="8" s="1"/>
  <c r="C12" i="8"/>
  <c r="C15" i="8" s="1"/>
  <c r="E15" i="8"/>
  <c r="K8" i="1" l="1"/>
  <c r="J6" i="2" s="1"/>
  <c r="I45" i="5"/>
  <c r="J11" i="16" s="1"/>
  <c r="D18" i="8"/>
  <c r="D22" i="8" s="1"/>
  <c r="F5" i="10" s="1"/>
  <c r="E18" i="8"/>
  <c r="E22" i="8" s="1"/>
  <c r="G5" i="10" s="1"/>
  <c r="F18" i="8"/>
  <c r="F22" i="8" s="1"/>
  <c r="H5" i="10" s="1"/>
  <c r="J6" i="5"/>
  <c r="I7" i="15"/>
  <c r="H47" i="5"/>
  <c r="I12" i="16" s="1"/>
  <c r="G21" i="8" s="1"/>
  <c r="H27" i="1"/>
  <c r="I6" i="1"/>
  <c r="H18" i="5"/>
  <c r="I6" i="16" s="1"/>
  <c r="I17" i="16" s="1"/>
  <c r="H8" i="15"/>
  <c r="I5" i="15" s="1"/>
  <c r="Q11" i="11"/>
  <c r="Q10" i="11"/>
  <c r="I4" i="2"/>
  <c r="I10" i="8"/>
  <c r="I16" i="8" s="1"/>
  <c r="H10" i="1"/>
  <c r="K6" i="5" l="1"/>
  <c r="J7" i="15"/>
  <c r="G7" i="8"/>
  <c r="P16" i="11"/>
  <c r="P15" i="11"/>
  <c r="O14" i="11"/>
  <c r="R11" i="11"/>
  <c r="R10" i="11"/>
  <c r="J4" i="2"/>
  <c r="J17" i="5"/>
  <c r="J45" i="5"/>
  <c r="I47" i="5"/>
  <c r="J12" i="16" s="1"/>
  <c r="H21" i="8" s="1"/>
  <c r="J6" i="1"/>
  <c r="I8" i="15"/>
  <c r="J5" i="15" s="1"/>
  <c r="I18" i="5"/>
  <c r="J10" i="8"/>
  <c r="J16" i="8" s="1"/>
  <c r="B6" i="11"/>
  <c r="G5" i="8"/>
  <c r="H7" i="4"/>
  <c r="H13" i="4" s="1"/>
  <c r="O29" i="11"/>
  <c r="B15" i="11" s="1"/>
  <c r="G4" i="8"/>
  <c r="O24" i="11"/>
  <c r="B14" i="11" s="1"/>
  <c r="O4" i="11"/>
  <c r="P9" i="11"/>
  <c r="C6" i="11" s="1"/>
  <c r="H5" i="8"/>
  <c r="H20" i="1" l="1"/>
  <c r="G6" i="8"/>
  <c r="L6" i="5"/>
  <c r="K7" i="15"/>
  <c r="J6" i="16"/>
  <c r="J17" i="16" s="1"/>
  <c r="J47" i="5"/>
  <c r="K12" i="16" s="1"/>
  <c r="K6" i="1"/>
  <c r="J8" i="15"/>
  <c r="K5" i="15" s="1"/>
  <c r="J18" i="5"/>
  <c r="K6" i="16" s="1"/>
  <c r="K11" i="16"/>
  <c r="I21" i="8" s="1"/>
  <c r="K5" i="16"/>
  <c r="S11" i="11"/>
  <c r="S10" i="11"/>
  <c r="K17" i="5"/>
  <c r="K45" i="5"/>
  <c r="B5" i="11"/>
  <c r="I6" i="4"/>
  <c r="I10" i="1"/>
  <c r="G17" i="8"/>
  <c r="H32" i="4"/>
  <c r="P4" i="11"/>
  <c r="C5" i="11" s="1"/>
  <c r="P24" i="11"/>
  <c r="C14" i="11" s="1"/>
  <c r="I27" i="1"/>
  <c r="P29" i="11" s="1"/>
  <c r="C15" i="11" s="1"/>
  <c r="H4" i="8"/>
  <c r="H6" i="8" s="1"/>
  <c r="I8" i="1"/>
  <c r="H6" i="2" s="1"/>
  <c r="I7" i="4"/>
  <c r="I13" i="4" s="1"/>
  <c r="H14" i="5"/>
  <c r="B10" i="11"/>
  <c r="G9" i="8"/>
  <c r="Q9" i="11"/>
  <c r="D6" i="11" s="1"/>
  <c r="I5" i="8"/>
  <c r="C7" i="11" l="1"/>
  <c r="B7" i="11"/>
  <c r="K17" i="16"/>
  <c r="B11" i="11"/>
  <c r="I20" i="1"/>
  <c r="H22" i="1"/>
  <c r="G3" i="2"/>
  <c r="K10" i="8"/>
  <c r="K16" i="8" s="1"/>
  <c r="L7" i="15"/>
  <c r="Q16" i="11"/>
  <c r="Q15" i="11"/>
  <c r="L11" i="16"/>
  <c r="L5" i="16"/>
  <c r="L17" i="5"/>
  <c r="L45" i="5"/>
  <c r="K47" i="5"/>
  <c r="L12" i="16" s="1"/>
  <c r="L6" i="1"/>
  <c r="K8" i="15"/>
  <c r="L5" i="15" s="1"/>
  <c r="K18" i="5"/>
  <c r="J26" i="1"/>
  <c r="H7" i="8"/>
  <c r="H9" i="8" s="1"/>
  <c r="H12" i="8" s="1"/>
  <c r="P14" i="11"/>
  <c r="C10" i="11" s="1"/>
  <c r="J10" i="1"/>
  <c r="H17" i="8"/>
  <c r="I32" i="4"/>
  <c r="G12" i="8"/>
  <c r="I14" i="5"/>
  <c r="Q4" i="11"/>
  <c r="D5" i="11" s="1"/>
  <c r="Q24" i="11"/>
  <c r="D14" i="11" s="1"/>
  <c r="J27" i="1"/>
  <c r="Q29" i="11" s="1"/>
  <c r="D15" i="11" s="1"/>
  <c r="I4" i="8"/>
  <c r="I6" i="8" s="1"/>
  <c r="J8" i="1"/>
  <c r="I6" i="2" s="1"/>
  <c r="J6" i="4"/>
  <c r="J7" i="4" s="1"/>
  <c r="J13" i="4" s="1"/>
  <c r="R9" i="11"/>
  <c r="E6" i="11" s="1"/>
  <c r="J5" i="8"/>
  <c r="D7" i="11" l="1"/>
  <c r="C11" i="11"/>
  <c r="J20" i="1"/>
  <c r="I22" i="1"/>
  <c r="H3" i="2"/>
  <c r="J21" i="8"/>
  <c r="R16" i="11"/>
  <c r="R15" i="11"/>
  <c r="L6" i="16"/>
  <c r="L17" i="16" s="1"/>
  <c r="L47" i="5"/>
  <c r="M12" i="16" s="1"/>
  <c r="L18" i="5"/>
  <c r="M6" i="16" s="1"/>
  <c r="M11" i="16"/>
  <c r="K21" i="8" s="1"/>
  <c r="M5" i="16"/>
  <c r="M17" i="16" s="1"/>
  <c r="K26" i="1"/>
  <c r="I7" i="8"/>
  <c r="I9" i="8" s="1"/>
  <c r="I12" i="8" s="1"/>
  <c r="Q14" i="11"/>
  <c r="D10" i="11" s="1"/>
  <c r="L10" i="1"/>
  <c r="K7" i="8" s="1"/>
  <c r="K10" i="1"/>
  <c r="I17" i="8"/>
  <c r="J32" i="4"/>
  <c r="J14" i="5"/>
  <c r="R4" i="11"/>
  <c r="E5" i="11" s="1"/>
  <c r="R24" i="11"/>
  <c r="E14" i="11" s="1"/>
  <c r="K27" i="1"/>
  <c r="R29" i="11" s="1"/>
  <c r="E15" i="11" s="1"/>
  <c r="J4" i="8"/>
  <c r="J6" i="8" s="1"/>
  <c r="K6" i="4"/>
  <c r="K7" i="4" s="1"/>
  <c r="K13" i="4" s="1"/>
  <c r="S14" i="11"/>
  <c r="S9" i="11"/>
  <c r="F6" i="11" s="1"/>
  <c r="K5" i="8"/>
  <c r="E7" i="11" l="1"/>
  <c r="D11" i="11"/>
  <c r="K20" i="1"/>
  <c r="J22" i="1"/>
  <c r="I3" i="2"/>
  <c r="S16" i="11"/>
  <c r="S15" i="11"/>
  <c r="F10" i="11" s="1"/>
  <c r="L26" i="1"/>
  <c r="J7" i="8"/>
  <c r="J9" i="8" s="1"/>
  <c r="J12" i="8" s="1"/>
  <c r="R14" i="11"/>
  <c r="E10" i="11" s="1"/>
  <c r="J17" i="8"/>
  <c r="K32" i="4"/>
  <c r="K14" i="5"/>
  <c r="S4" i="11"/>
  <c r="F5" i="11" s="1"/>
  <c r="S24" i="11"/>
  <c r="F14" i="11" s="1"/>
  <c r="L27" i="1"/>
  <c r="S29" i="11" s="1"/>
  <c r="F15" i="11" s="1"/>
  <c r="K4" i="8"/>
  <c r="K6" i="8" s="1"/>
  <c r="K9" i="8" s="1"/>
  <c r="L8" i="1"/>
  <c r="L20" i="1" s="1"/>
  <c r="L22" i="1" s="1"/>
  <c r="L6" i="4"/>
  <c r="L7" i="4" s="1"/>
  <c r="L13" i="4" s="1"/>
  <c r="K12" i="8"/>
  <c r="F7" i="11" l="1"/>
  <c r="F11" i="11" s="1"/>
  <c r="E11" i="11"/>
  <c r="K22" i="1"/>
  <c r="J3" i="2"/>
  <c r="K17" i="8"/>
  <c r="L32" i="4"/>
  <c r="L14" i="5"/>
  <c r="H22" i="5"/>
  <c r="I21" i="5"/>
  <c r="P40" i="11"/>
  <c r="O40" i="11"/>
  <c r="H24" i="1"/>
  <c r="O39" i="11" s="1"/>
  <c r="B13" i="11" s="1"/>
  <c r="B17" i="11" s="1"/>
  <c r="O41" i="11"/>
  <c r="H25" i="5" l="1"/>
  <c r="I22" i="5"/>
  <c r="J8" i="16" s="1"/>
  <c r="H20" i="8" s="1"/>
  <c r="J21" i="5"/>
  <c r="I24" i="1"/>
  <c r="P41" i="11"/>
  <c r="P39" i="11" l="1"/>
  <c r="C13" i="11" s="1"/>
  <c r="C17" i="11" s="1"/>
  <c r="K21" i="5"/>
  <c r="J22" i="5"/>
  <c r="K8" i="16" s="1"/>
  <c r="I20" i="8" s="1"/>
  <c r="J24" i="1"/>
  <c r="Q41" i="11"/>
  <c r="Q40" i="11"/>
  <c r="I25" i="5"/>
  <c r="G19" i="8"/>
  <c r="G18" i="8" s="1"/>
  <c r="Q39" i="11" l="1"/>
  <c r="D13" i="11" s="1"/>
  <c r="D17" i="11" s="1"/>
  <c r="J25" i="5"/>
  <c r="L21" i="5"/>
  <c r="K22" i="5"/>
  <c r="L8" i="16" s="1"/>
  <c r="J20" i="8" s="1"/>
  <c r="K24" i="1"/>
  <c r="R41" i="11"/>
  <c r="R40" i="11"/>
  <c r="H19" i="8" l="1"/>
  <c r="H18" i="8" s="1"/>
  <c r="R39" i="11"/>
  <c r="E13" i="11" s="1"/>
  <c r="E17" i="11" s="1"/>
  <c r="K25" i="5"/>
  <c r="L22" i="5"/>
  <c r="M8" i="16" s="1"/>
  <c r="K20" i="8" s="1"/>
  <c r="L24" i="1"/>
  <c r="S41" i="11"/>
  <c r="S40" i="11"/>
  <c r="I19" i="8" l="1"/>
  <c r="I18" i="8" s="1"/>
  <c r="S39" i="11"/>
  <c r="F13" i="11" s="1"/>
  <c r="F17" i="11" s="1"/>
  <c r="L25" i="5"/>
  <c r="J19" i="8" l="1"/>
  <c r="J18" i="8" s="1"/>
  <c r="K19" i="8" l="1"/>
  <c r="K18" i="8" s="1"/>
  <c r="L8" i="15" l="1"/>
  <c r="P19" i="11" l="1"/>
  <c r="I29" i="1"/>
  <c r="I32" i="1" s="1"/>
  <c r="P34" i="11" s="1"/>
  <c r="Q19" i="11"/>
  <c r="J29" i="1"/>
  <c r="J32" i="1" s="1"/>
  <c r="Q34" i="11" s="1"/>
  <c r="R19" i="11"/>
  <c r="K29" i="1"/>
  <c r="K32" i="1" s="1"/>
  <c r="S19" i="11"/>
  <c r="L29" i="1"/>
  <c r="L32" i="1"/>
  <c r="S34" i="11" s="1"/>
  <c r="R34" i="11" l="1"/>
  <c r="J13" i="8"/>
  <c r="J15" i="8" s="1"/>
  <c r="J22" i="8" s="1"/>
  <c r="L5" i="10" s="1"/>
  <c r="L8" i="10" s="1"/>
  <c r="K13" i="8"/>
  <c r="K15" i="8" s="1"/>
  <c r="K22" i="8" s="1"/>
  <c r="M5" i="10" s="1"/>
  <c r="M8" i="10" s="1"/>
  <c r="H13" i="8"/>
  <c r="H15" i="8" s="1"/>
  <c r="H22" i="8" s="1"/>
  <c r="J5" i="10" s="1"/>
  <c r="J8" i="10" s="1"/>
  <c r="I13" i="8"/>
  <c r="I15" i="8" s="1"/>
  <c r="I22" i="8" s="1"/>
  <c r="K5" i="10" s="1"/>
  <c r="K8" i="10" s="1"/>
  <c r="L33" i="1"/>
  <c r="L35" i="1" s="1"/>
  <c r="L14" i="4" s="1"/>
  <c r="L15" i="4" s="1"/>
  <c r="L49" i="5"/>
  <c r="S35" i="11"/>
  <c r="F19" i="11" s="1"/>
  <c r="S36" i="11"/>
  <c r="O19" i="11"/>
  <c r="H29" i="1"/>
  <c r="K33" i="1"/>
  <c r="K35" i="1" s="1"/>
  <c r="K14" i="4" s="1"/>
  <c r="K15" i="4" s="1"/>
  <c r="K49" i="5"/>
  <c r="R35" i="11"/>
  <c r="E19" i="11" s="1"/>
  <c r="R36" i="11"/>
  <c r="J33" i="1"/>
  <c r="J35" i="1" s="1"/>
  <c r="J14" i="4" s="1"/>
  <c r="J15" i="4" s="1"/>
  <c r="J49" i="5"/>
  <c r="Q35" i="11"/>
  <c r="D19" i="11" s="1"/>
  <c r="Q36" i="11"/>
  <c r="I49" i="5"/>
  <c r="P35" i="11"/>
  <c r="C19" i="11" s="1"/>
  <c r="P36" i="11"/>
  <c r="I33" i="1"/>
  <c r="I35" i="1" s="1"/>
  <c r="I14" i="4" s="1"/>
  <c r="I15" i="4" s="1"/>
  <c r="C20" i="11" l="1"/>
  <c r="D20" i="11"/>
  <c r="E20" i="11"/>
  <c r="F20" i="11"/>
  <c r="C22" i="10"/>
  <c r="C27" i="10" s="1"/>
  <c r="I48" i="4"/>
  <c r="Y4" i="4"/>
  <c r="Q17" i="5"/>
  <c r="J13" i="16"/>
  <c r="I51" i="5"/>
  <c r="K13" i="16"/>
  <c r="J51" i="5"/>
  <c r="J48" i="4"/>
  <c r="Z4" i="4"/>
  <c r="R17" i="5"/>
  <c r="L13" i="16"/>
  <c r="K51" i="5"/>
  <c r="K48" i="4"/>
  <c r="AA4" i="4"/>
  <c r="S17" i="5"/>
  <c r="H49" i="5"/>
  <c r="O35" i="11"/>
  <c r="B19" i="11" s="1"/>
  <c r="O36" i="11"/>
  <c r="H32" i="1"/>
  <c r="M13" i="16"/>
  <c r="L51" i="5"/>
  <c r="L48" i="4"/>
  <c r="AB4" i="4"/>
  <c r="T17" i="5"/>
  <c r="B20" i="11" l="1"/>
  <c r="B62" i="2"/>
  <c r="F13" i="10"/>
  <c r="M15" i="16"/>
  <c r="L53" i="5"/>
  <c r="O34" i="11"/>
  <c r="G13" i="8"/>
  <c r="G15" i="8" s="1"/>
  <c r="I5" i="10" s="1"/>
  <c r="C11" i="10" s="1"/>
  <c r="H33" i="1"/>
  <c r="H35" i="1" s="1"/>
  <c r="I13" i="16"/>
  <c r="H51" i="5"/>
  <c r="L15" i="16"/>
  <c r="K53" i="5"/>
  <c r="K15" i="16"/>
  <c r="J53" i="5"/>
  <c r="J15" i="16"/>
  <c r="I53" i="5"/>
  <c r="H14" i="4" l="1"/>
  <c r="H15" i="4" s="1"/>
  <c r="P17" i="5" s="1"/>
  <c r="I15" i="16"/>
  <c r="H53" i="5"/>
  <c r="X4" i="4"/>
  <c r="H48" i="4"/>
  <c r="H52" i="4" s="1"/>
  <c r="I51" i="4" s="1"/>
  <c r="I52" i="4" s="1"/>
  <c r="J51" i="4" s="1"/>
  <c r="J52" i="4" s="1"/>
  <c r="K51" i="4" s="1"/>
  <c r="K52" i="4" s="1"/>
  <c r="L51" i="4" s="1"/>
  <c r="L5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B6" authorId="0" shapeId="0" xr:uid="{988B05A9-EEE5-4816-B44F-F3267BE95C5D}">
      <text>
        <r>
          <rPr>
            <sz val="11"/>
            <color theme="1"/>
            <rFont val="Aptos Narrow"/>
            <family val="2"/>
            <charset val="1"/>
          </rPr>
          <t xml:space="preserve">
It was not part of Income statement hence it is not linked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tc={022CD1A0-EB6C-4A07-BA29-6D0E57C6AB8B}</author>
    <author>Mamello Malape</author>
  </authors>
  <commentList>
    <comment ref="D7" authorId="0" shapeId="0" xr:uid="{022CD1A0-EB6C-4A07-BA29-6D0E57C6AB8B}">
      <text>
        <r>
          <rPr>
            <sz val="11"/>
            <color theme="1"/>
            <rFont val="Aptos Narrow"/>
            <family val="2"/>
            <charset val="1"/>
          </rPr>
          <t xml:space="preserve"> South African Tax Rate</t>
        </r>
      </text>
    </comment>
    <comment ref="D11" authorId="1" shapeId="0" xr:uid="{082ACF78-A1F6-4F05-ACA0-B4AB33DF5F4F}">
      <text>
        <r>
          <rPr>
            <b/>
            <sz val="9"/>
            <color indexed="81"/>
            <rFont val="Tahoma"/>
            <charset val="1"/>
          </rPr>
          <t>Mamello Malape:</t>
        </r>
        <r>
          <rPr>
            <sz val="9"/>
            <color indexed="81"/>
            <rFont val="Tahoma"/>
            <charset val="1"/>
          </rPr>
          <t xml:space="preserve">
The 10-year government bond yield for South Africa 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Mamello Malape</author>
  </authors>
  <commentList>
    <comment ref="C12" authorId="0" shapeId="0" xr:uid="{2C8E14C2-3DBD-4C47-A417-B5866BE6D72D}">
      <text>
        <r>
          <rPr>
            <b/>
            <sz val="9"/>
            <color indexed="81"/>
            <rFont val="Tahoma"/>
            <charset val="1"/>
          </rPr>
          <t>Mamello Malape:</t>
        </r>
        <r>
          <rPr>
            <sz val="9"/>
            <color indexed="81"/>
            <rFont val="Tahoma"/>
            <charset val="1"/>
          </rPr>
          <t xml:space="preserve">
SA FMCG / food manufacturing industry growth rate</t>
        </r>
      </text>
    </comment>
    <comment ref="C26" authorId="0" shapeId="0" xr:uid="{C3891F39-DCA7-4F82-BABF-2E9B66C6A934}">
      <text>
        <r>
          <rPr>
            <b/>
            <sz val="9"/>
            <color indexed="81"/>
            <rFont val="Tahoma"/>
            <charset val="1"/>
          </rPr>
          <t>Mamello Malape:</t>
        </r>
        <r>
          <rPr>
            <sz val="9"/>
            <color indexed="81"/>
            <rFont val="Tahoma"/>
            <charset val="1"/>
          </rPr>
          <t xml:space="preserve">
On the Day I calculated DCF. Thursday (28 May 2026)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S2" authorId="0" shapeId="0" xr:uid="{C7C199C0-9281-44B1-8F43-5B2E6E87DF05}">
      <text>
        <r>
          <rPr>
            <sz val="11"/>
            <color theme="1"/>
            <rFont val="Aptos Narrow"/>
            <family val="2"/>
            <charset val="1"/>
          </rPr>
          <t xml:space="preserve">2023232750 User:The scenario analysis was developed by creating three possible forecasting outcomes, namely the base case, best case and worst case scenarios. These scenarios were designed to assess how changes in key financial assumptions could influence the company’s future financial performance between 2026 and 2030.
The base-case scenario represents the most likely outcome and was calculated using historical averages, growth trends and historical financial ratios. This scenario assumes that the company continues operating under normal business conditions with stable revenue growth, normal operating costs and moderate financial performance.
The best-case scenario represents favourable business conditions and stronger financial performance. In this scenario, assumptions included higher revenue growth, improved profitability, lower cost pressures, lower finance costs and stronger investment returns. The best-case assumptions were generally based on the company’s more favourable historical performance trends and improving liquidity conditions.
The worst-case scenario represents unfavourable operating and economic conditions. This scenario assumed lower revenue growth, weaker profitability, higher operating cost pressure, higher finance costs and reduced investment performance. The worst-case assumptions reflect the possibility of weaker market demand, rising costs and less favourable financing conditions.
Historical trends, percentage growth rates and ratio analysis were used to develop the scenario assumptions. Revenue-related items were forecast using historical growth trends, while expense-related items such as cost of sales and operating expenses were forecast using historical relationships to revenue. Financing-related items were forecast by considering projected cash balances, borrowing requirements and expected financing conditions.
Overall, the scenario analysis provides a range of possible financial outcomes and assists in evaluating the company’s potential performance under different operating conditions.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Mamello Malape</author>
  </authors>
  <commentList>
    <comment ref="B28" authorId="0" shapeId="0" xr:uid="{D6DF48DF-C22A-4340-B01C-DC0494AE5359}">
      <text>
        <r>
          <rPr>
            <b/>
            <sz val="9"/>
            <color indexed="81"/>
            <rFont val="Tahoma"/>
            <charset val="1"/>
          </rPr>
          <t>Mamello Malape:</t>
        </r>
        <r>
          <rPr>
            <sz val="9"/>
            <color indexed="81"/>
            <rFont val="Tahoma"/>
            <charset val="1"/>
          </rPr>
          <t xml:space="preserve">
Source: Author’s Financial Analysis Model.,2025 </t>
        </r>
      </text>
    </comment>
    <comment ref="E71" authorId="0" shapeId="0" xr:uid="{88A19FC1-B36D-41B4-BD2B-6BD45AC2F1D2}">
      <text>
        <r>
          <rPr>
            <b/>
            <sz val="9"/>
            <color indexed="81"/>
            <rFont val="Tahoma"/>
            <family val="2"/>
          </rPr>
          <t>Mamello Malape:</t>
        </r>
        <r>
          <rPr>
            <sz val="9"/>
            <color indexed="81"/>
            <rFont val="Tahoma"/>
            <family val="2"/>
          </rPr>
          <t xml:space="preserve">
This is from money web, and Stock Analysis</t>
        </r>
      </text>
    </comment>
    <comment ref="E72" authorId="0" shapeId="0" xr:uid="{653A1975-4FB7-4268-A648-8FA07D672C84}">
      <text>
        <r>
          <rPr>
            <b/>
            <sz val="9"/>
            <color indexed="81"/>
            <rFont val="Tahoma"/>
            <family val="2"/>
          </rPr>
          <t>Mamello Malape:</t>
        </r>
        <r>
          <rPr>
            <sz val="9"/>
            <color indexed="81"/>
            <rFont val="Tahoma"/>
            <family val="2"/>
          </rPr>
          <t xml:space="preserve">
From Stock Analysis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Guest User</author>
    <author>tc={C32A607A-5304-4C54-A8A9-BADF9F71FC6A}</author>
  </authors>
  <commentList>
    <comment ref="G10" authorId="0" shapeId="0" xr:uid="{3316D53D-9859-428A-924D-692BBBADDCF5}">
      <text/>
    </comment>
    <comment ref="L15" authorId="0" shapeId="0" xr:uid="{265BB3D8-DE3E-4150-9665-F7A06A2D5AA2}">
      <text>
        <r>
          <rPr>
            <sz val="11"/>
            <color theme="1"/>
            <rFont val="Aptos Narrow"/>
            <family val="2"/>
            <charset val="1"/>
          </rPr>
          <t>2023232750 User:
The Expected Credit Loss (ECL) provision is forecasted flat at a nominal R1.0 million per annum across the FY2026–FY2028 horizon. While the FY2025 balance reflected a positive credit reversal (+R1.0 million) due to successful historical debt recoveries, this represents an unrepeatable operational event. Maintaining a flat, conservative baseline placeholder ensures the model remains mathematically sound without overstating net operating income or introducing volatile accounting provisions.</t>
        </r>
      </text>
    </comment>
    <comment ref="L24" authorId="0" shapeId="0" xr:uid="{96E43F7A-A978-4B90-9CF7-6AA8DA7828C4}">
      <text>
        <r>
          <rPr>
            <sz val="11"/>
            <color theme="1"/>
            <rFont val="Aptos Narrow"/>
            <family val="2"/>
            <charset val="1"/>
          </rPr>
          <t>2023232750 User:
Finance income across the forecast horizon was projected utilizing a bottom-up asset yield approach, calculated by applying the historical average interest yield percentage directly to Tiger Brands' forecasted Cash and Cash Equivalents balance. This method was selected over historical line-averaging because cash generation and treasury returns are a direct function of liquid asset availability. By linking interest-bearing assets to historical yields, the model provides an accurate reflection of treasury performance and liquid capital returns, adhering to professional corporate valuation standards.</t>
        </r>
      </text>
    </comment>
    <comment ref="L34" authorId="1" shapeId="0" xr:uid="{C32A607A-5304-4C54-A8A9-BADF9F71FC6A}">
      <text>
        <r>
          <rPr>
            <sz val="11"/>
            <color theme="1"/>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This is 0 beccause: I cannot predict if a company will randomly decide to shut down another major division three years from now. Predicting a future discontinued operation is impossible and distorts my model.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T4" authorId="0" shapeId="0" xr:uid="{E8AE8DB4-E0A1-400A-95A7-2240C53A891E}">
      <text>
        <r>
          <rPr>
            <sz val="11"/>
            <color theme="1"/>
            <rFont val="Aptos Narrow"/>
            <family val="2"/>
            <charset val="1"/>
          </rPr>
          <t xml:space="preserve">Unknown User:
This is Short -Term Efficiency phase, Cash Operating Profit is modeled using the historical four-year average growth rate of 9.01% per annum. It is acknowledged that this rate significantly outpaces the projected 3.02% top-line structural revenue growth rate, presenting an optimistic margin expansion scenario. This growth vector is applied under the operational assumption that Tiger Brands will sustain its aggressive 'Cost Leadership' and asset optimization initiatives over the forecast horizon. The 9.01% expansion serves as an analytical proxy for a high-efficiency turnaround cycle, where aggressive product-line pruning and factory automation allow operational cash conversion [finance] to temporarily outpace top-line volume growth before normalizing back down to revenue baseline levels. </t>
        </r>
      </text>
    </comment>
    <comment ref="L5" authorId="0" shapeId="0" xr:uid="{E0F1BFC9-3DCA-44AC-9EED-5B576A2B2307}">
      <text>
        <r>
          <rPr>
            <sz val="11"/>
            <color theme="1"/>
            <rFont val="Aptos Narrow"/>
            <family val="2"/>
            <charset val="1"/>
          </rPr>
          <t xml:space="preserve">Cash Operating Profit is explicitly decoupled from flat revenue percentages and is instead escalated at its historical four-year average compound rate of 9.01% per annum. Utilizing a compound growth rate on absolute cash returns allows the model to capture structural margin expansion. Because core production input costs are insulated by low factory inflation (2.3% PPI), Tiger Brands' cash generation is expanding faster than its top-line sales growth. Maintaining the 9.01% trajectory serves as a realistic proxy for the company's ongoing 'Cost Leadership' phase, reflecting internal operational efficiencies that a static percentage of revenue model would fail to show
</t>
        </r>
      </text>
    </comment>
    <comment ref="L6" authorId="0" shapeId="0" xr:uid="{15C2B4FB-EFB5-472F-A911-09C5070C15B6}">
      <text>
        <r>
          <rPr>
            <sz val="11"/>
            <color theme="1"/>
            <rFont val="Aptos Narrow"/>
            <family val="2"/>
            <charset val="1"/>
          </rPr>
          <t>Working Capital Changes (% of Revenue Approach):"Working Capital Changes across the 5-year forecast horizon (FY2026–FY2030) are projected by applying the historical five-year average working-capital-to-revenue ratio of -0.57% directly to projected top-line sales. In corporate valuation, short-term operating cycles—such as inventory accumulation buffers and trade receivables extensions—function as a direct constraint of commercial scale. Tying this row to revenue ensures that as Tiger Brands expands its sales footprint, the model accurately captures the proportional liquid cash outflows required to fund the supply chain. This approach provides a realistic baseline that avoids overstating future liquidity."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O82" authorId="0" shapeId="0" xr:uid="{1778D915-E5F9-4F2B-AC51-D31541F82F30}">
      <text/>
    </comment>
  </commentList>
</comments>
</file>

<file path=xl/sharedStrings.xml><?xml version="1.0" encoding="utf-8"?>
<sst xmlns="http://schemas.openxmlformats.org/spreadsheetml/2006/main" count="490" uniqueCount="351">
  <si>
    <t>Fixed Assets Schedule</t>
  </si>
  <si>
    <t> </t>
  </si>
  <si>
    <t>Fiscal Year</t>
  </si>
  <si>
    <t>Beginning PP&amp;E</t>
  </si>
  <si>
    <t>Depreciation &amp; Ammortization</t>
  </si>
  <si>
    <t>CapEx</t>
  </si>
  <si>
    <t>Ending PP&amp;E</t>
  </si>
  <si>
    <t>Assumptions</t>
  </si>
  <si>
    <t>Networking Capital</t>
  </si>
  <si>
    <t>years</t>
  </si>
  <si>
    <t>CURRENT ASSETS</t>
  </si>
  <si>
    <t xml:space="preserve">  Inventories</t>
  </si>
  <si>
    <t xml:space="preserve">  Trade and other receivables</t>
  </si>
  <si>
    <t xml:space="preserve">  Cash and cash equivalents</t>
  </si>
  <si>
    <t>Total current assets</t>
  </si>
  <si>
    <t>CURRENT LIABILITIES</t>
  </si>
  <si>
    <t xml:space="preserve">  Trade and other payables</t>
  </si>
  <si>
    <t xml:space="preserve">  Employee-related accruals</t>
  </si>
  <si>
    <t xml:space="preserve">  Taxation</t>
  </si>
  <si>
    <t xml:space="preserve">  Short-term borrowings</t>
  </si>
  <si>
    <t>Total current liabilities</t>
  </si>
  <si>
    <t>Weighted Average Cost of Capital</t>
  </si>
  <si>
    <t>Equity</t>
  </si>
  <si>
    <t>Debts</t>
  </si>
  <si>
    <t>Cost of Debt</t>
  </si>
  <si>
    <t>Tax Rate</t>
  </si>
  <si>
    <t>D/(D+E)</t>
  </si>
  <si>
    <t>After Tax Cost of Debt</t>
  </si>
  <si>
    <t>Risk Free Rate ( 10-Yr Treasury Yield)</t>
  </si>
  <si>
    <t>Expected Market Return</t>
  </si>
  <si>
    <t>Market risk Premium</t>
  </si>
  <si>
    <t>Levered Beta</t>
  </si>
  <si>
    <t>E/(D+E)</t>
  </si>
  <si>
    <t xml:space="preserve">Cost of Equity </t>
  </si>
  <si>
    <t>WACC</t>
  </si>
  <si>
    <t>R'million</t>
  </si>
  <si>
    <t>Unlevered Free Cash Flow (mm)</t>
  </si>
  <si>
    <t>Unlevered Free Cash Flow</t>
  </si>
  <si>
    <t>Projection Year</t>
  </si>
  <si>
    <t>Present Value of Free Cash Flow</t>
  </si>
  <si>
    <t>Implied Share Price Calculation</t>
  </si>
  <si>
    <t>Sensitivity Table</t>
  </si>
  <si>
    <t>Sum of PV of FCF</t>
  </si>
  <si>
    <t>Growth Rate</t>
  </si>
  <si>
    <t>Terminal Value</t>
  </si>
  <si>
    <t>PV of Terminal Value</t>
  </si>
  <si>
    <t>Enterprise Value</t>
  </si>
  <si>
    <t>(+) Cash</t>
  </si>
  <si>
    <t>(-) Debt</t>
  </si>
  <si>
    <t>(-) Minority Interest</t>
  </si>
  <si>
    <t>Equity Value</t>
  </si>
  <si>
    <t>Diluted Shares Outstanding (mm)</t>
  </si>
  <si>
    <t>Implied Share Price</t>
  </si>
  <si>
    <t xml:space="preserve">Current Market Price is </t>
  </si>
  <si>
    <t>Scenario Analysis</t>
  </si>
  <si>
    <t>Forecasted</t>
  </si>
  <si>
    <t xml:space="preserve">Assumption </t>
  </si>
  <si>
    <t>(R'million)</t>
  </si>
  <si>
    <t>Revanue Scenarios</t>
  </si>
  <si>
    <t>Producer Price Index (PPI) worst</t>
  </si>
  <si>
    <t>Revenue</t>
  </si>
  <si>
    <t>Choose Scenario -&gt;</t>
  </si>
  <si>
    <t>1. Base</t>
  </si>
  <si>
    <t>Producer Price Index (PPI) best case</t>
  </si>
  <si>
    <t xml:space="preserve">  Total revenue</t>
  </si>
  <si>
    <t>2. Best</t>
  </si>
  <si>
    <t xml:space="preserve">  Total cost of sales</t>
  </si>
  <si>
    <t>3. Worst</t>
  </si>
  <si>
    <t>CPI best case</t>
  </si>
  <si>
    <t>Gross profit</t>
  </si>
  <si>
    <t>CPI worst case</t>
  </si>
  <si>
    <t>Cost of sales Scenarios</t>
  </si>
  <si>
    <t>CPI actual</t>
  </si>
  <si>
    <t>Operating Expenses</t>
  </si>
  <si>
    <t>Total Expenses</t>
  </si>
  <si>
    <t>Operating income after impairments(EBIT)</t>
  </si>
  <si>
    <t>Tax Policy Rate worst case</t>
  </si>
  <si>
    <t xml:space="preserve">  Finance costs</t>
  </si>
  <si>
    <t>Tax Policy Rate best case</t>
  </si>
  <si>
    <t>Finance income</t>
  </si>
  <si>
    <t>Operating expesnses</t>
  </si>
  <si>
    <t>Tax policy rate (actual)</t>
  </si>
  <si>
    <t xml:space="preserve">  Investment income</t>
  </si>
  <si>
    <t xml:space="preserve">  Income from associated companies</t>
  </si>
  <si>
    <t>Profit before taxation</t>
  </si>
  <si>
    <t>Taxation &amp; Profit</t>
  </si>
  <si>
    <t>Finance Cost</t>
  </si>
  <si>
    <t xml:space="preserve">Profit for year </t>
  </si>
  <si>
    <t>Investment income</t>
  </si>
  <si>
    <t>Income from associated Companies</t>
  </si>
  <si>
    <t>Taxation</t>
  </si>
  <si>
    <t>Actual</t>
  </si>
  <si>
    <t>Deprecaiation Assumptions as a % of PPE</t>
  </si>
  <si>
    <t xml:space="preserve">AAG </t>
  </si>
  <si>
    <t>Total cost of sales</t>
  </si>
  <si>
    <t>Total Expense</t>
  </si>
  <si>
    <t>EBITDA</t>
  </si>
  <si>
    <t>Depreciciation</t>
  </si>
  <si>
    <t>Operating Profit</t>
  </si>
  <si>
    <t>Operating Taxes</t>
  </si>
  <si>
    <t>NOPAT (Net Operating Profit after Taxes)</t>
  </si>
  <si>
    <t>(+) Depreciation and Amortization</t>
  </si>
  <si>
    <t>(-) Capital Expenditure</t>
  </si>
  <si>
    <t>(-)Change in NWC</t>
  </si>
  <si>
    <t>NWC</t>
  </si>
  <si>
    <t>Current Assts</t>
  </si>
  <si>
    <t xml:space="preserve">Current Libility </t>
  </si>
  <si>
    <t>Years</t>
  </si>
  <si>
    <t>Profitability Ratios</t>
  </si>
  <si>
    <t>Net Profit Margin</t>
  </si>
  <si>
    <t>Return on Equity</t>
  </si>
  <si>
    <t>Operating Margin</t>
  </si>
  <si>
    <t>Assts Turn over</t>
  </si>
  <si>
    <t>Adjusted EBITDA Margin</t>
  </si>
  <si>
    <t>EBIT Growth rate</t>
  </si>
  <si>
    <t>Liquidity Ratios</t>
  </si>
  <si>
    <t>Static Liquidity</t>
  </si>
  <si>
    <t>Current Ratio</t>
  </si>
  <si>
    <t>Quick Ratio</t>
  </si>
  <si>
    <t>Cash Ratio</t>
  </si>
  <si>
    <t>Net Working Capital</t>
  </si>
  <si>
    <t>Net Working Capital-to-Revanue</t>
  </si>
  <si>
    <t>Efficiency Cycles</t>
  </si>
  <si>
    <t>Days Inventory out standing</t>
  </si>
  <si>
    <t>Days Sales Outstanding</t>
  </si>
  <si>
    <t>Days Payable Outstanding</t>
  </si>
  <si>
    <t>Cash Conversion Cycle</t>
  </si>
  <si>
    <t>Leverage and solvency Ratios</t>
  </si>
  <si>
    <t>Debt-to-Equity Ratio</t>
  </si>
  <si>
    <t>Debt to Assts Ratio</t>
  </si>
  <si>
    <t>Interest Coverage Ratio</t>
  </si>
  <si>
    <t>Debt to service coverage Ratio</t>
  </si>
  <si>
    <t>Equity Multiplier</t>
  </si>
  <si>
    <t>Growth metrics</t>
  </si>
  <si>
    <t>Revanue Growth Rate</t>
  </si>
  <si>
    <t>Net income Growth rate</t>
  </si>
  <si>
    <t>Free Cash Flow</t>
  </si>
  <si>
    <t>Free Cash Flow Growth</t>
  </si>
  <si>
    <t>Stock price per year</t>
  </si>
  <si>
    <t>Book Value per share</t>
  </si>
  <si>
    <t>Market Capitalization</t>
  </si>
  <si>
    <t xml:space="preserve"> Market Prices</t>
  </si>
  <si>
    <t>Price to Book Ratio</t>
  </si>
  <si>
    <t>Price to Sales</t>
  </si>
  <si>
    <t>Enterprice Value to Sales Ratio</t>
  </si>
  <si>
    <t>Dividend Yield(%)</t>
  </si>
  <si>
    <t>Cash Flow Analysis</t>
  </si>
  <si>
    <t>Operating Cash Flow Mrgin%</t>
  </si>
  <si>
    <t>Cash Reinvestment Ratio</t>
  </si>
  <si>
    <t>Tiger Brands Limited – Consolidated Income Statement</t>
  </si>
  <si>
    <t>Five-year period: FY2021 – FY2025  |  Year ended 30 September  |  Amounts in R'million</t>
  </si>
  <si>
    <t>2021</t>
  </si>
  <si>
    <t>2022</t>
  </si>
  <si>
    <t>2023</t>
  </si>
  <si>
    <t>2024</t>
  </si>
  <si>
    <t>2025</t>
  </si>
  <si>
    <t>2026E</t>
  </si>
  <si>
    <t>2027E</t>
  </si>
  <si>
    <t>2028E</t>
  </si>
  <si>
    <t>2029E</t>
  </si>
  <si>
    <t>2030E</t>
  </si>
  <si>
    <t>Average(AAGR)</t>
  </si>
  <si>
    <t>Revanue</t>
  </si>
  <si>
    <t>PPI Rate</t>
  </si>
  <si>
    <t>COGS as a % of revanue</t>
  </si>
  <si>
    <t>Volume Growth Rate</t>
  </si>
  <si>
    <t>Operating Expense</t>
  </si>
  <si>
    <t>Income tax</t>
  </si>
  <si>
    <t>Interest(Finance Cost)</t>
  </si>
  <si>
    <t>CPI Rate</t>
  </si>
  <si>
    <t xml:space="preserve">  Sales and distribution expenses</t>
  </si>
  <si>
    <t>Interst (Finance income)</t>
  </si>
  <si>
    <t xml:space="preserve">  Marketing expenses</t>
  </si>
  <si>
    <t>Income from associate company% of revanue</t>
  </si>
  <si>
    <t xml:space="preserve">  Other operating expenses</t>
  </si>
  <si>
    <t>INvestment income % of revanue</t>
  </si>
  <si>
    <t>Corporate Tax Rate</t>
  </si>
  <si>
    <t xml:space="preserve">  Sundry income</t>
  </si>
  <si>
    <t xml:space="preserve">  Expected credit loss (raised)/reversed</t>
  </si>
  <si>
    <t>Operating income before impairments</t>
  </si>
  <si>
    <t>Non-Operating Items</t>
  </si>
  <si>
    <t xml:space="preserve">  Impairments and fair value (loss)/gain</t>
  </si>
  <si>
    <t xml:space="preserve">  Non-operational items</t>
  </si>
  <si>
    <t>Profit including non-operational items</t>
  </si>
  <si>
    <t xml:space="preserve">  Finance income</t>
  </si>
  <si>
    <t xml:space="preserve">  Foreign exchange gain/(loss)</t>
  </si>
  <si>
    <t xml:space="preserve">  Profit on disposal of associate</t>
  </si>
  <si>
    <t>Profit for year (continuing ops)</t>
  </si>
  <si>
    <t xml:space="preserve">  (Loss)/profit from discontinued ops</t>
  </si>
  <si>
    <t>Profit for the year</t>
  </si>
  <si>
    <t>Attributable to</t>
  </si>
  <si>
    <t xml:space="preserve">  Owners of the parent</t>
  </si>
  <si>
    <t xml:space="preserve">  Non-controlling interests</t>
  </si>
  <si>
    <t>Per Share Data (cents)</t>
  </si>
  <si>
    <t xml:space="preserve">  Basic earnings per share(Cents)</t>
  </si>
  <si>
    <t xml:space="preserve">  Diluted basic EPS(cents)</t>
  </si>
  <si>
    <t>Sources: Tiger Brands Annual Financial Statements 2023 (FY2021–FY2023) and Group Annual Financial Statements 2025 (FY2024–FY2025). FY2021 values sourced from the five-year review in the 2023 AFS. All figures in R'million. Figures may differ slightly due to rounding or restatements. Blue numbers = hard-coded inputs from source documents.</t>
  </si>
  <si>
    <t>Tiger Brands Limited – Consolidated Statement of Cash Flows</t>
  </si>
  <si>
    <t>Notes</t>
  </si>
  <si>
    <t>Average</t>
  </si>
  <si>
    <t>OPERATING ACTIVITIES</t>
  </si>
  <si>
    <t>Cash operating profit</t>
  </si>
  <si>
    <t>Net increase/decrease in cash</t>
  </si>
  <si>
    <t xml:space="preserve">  Cash operating profit</t>
  </si>
  <si>
    <t>10.1</t>
  </si>
  <si>
    <t>Working capital changes % oF Revanue</t>
  </si>
  <si>
    <t xml:space="preserve">  Working capital changes</t>
  </si>
  <si>
    <t>10.2</t>
  </si>
  <si>
    <t>Cash generated from operations</t>
  </si>
  <si>
    <t>finance cost paid</t>
  </si>
  <si>
    <t xml:space="preserve">  Finance income received</t>
  </si>
  <si>
    <t>Income  from Investments received</t>
  </si>
  <si>
    <t>taxation paid</t>
  </si>
  <si>
    <t xml:space="preserve">  Finance costs paid</t>
  </si>
  <si>
    <t>dividends paid</t>
  </si>
  <si>
    <t xml:space="preserve">  Dividends received from assoc/subs</t>
  </si>
  <si>
    <t>Purchase of PP&amp;E and Intagible assts</t>
  </si>
  <si>
    <t xml:space="preserve">  Taxation paid</t>
  </si>
  <si>
    <t>10.3</t>
  </si>
  <si>
    <t xml:space="preserve">  Net increase/(decrease) in cash</t>
  </si>
  <si>
    <t>Cash available from operations</t>
  </si>
  <si>
    <t xml:space="preserve">  Effect of exchange rate changes</t>
  </si>
  <si>
    <t xml:space="preserve">  Dividends paid</t>
  </si>
  <si>
    <t>10.4</t>
  </si>
  <si>
    <t>Closing cash and cash equivalent</t>
  </si>
  <si>
    <t>Net cash from operating activities</t>
  </si>
  <si>
    <t>Cash conversion ratio</t>
  </si>
  <si>
    <t>Capex as % of revanue</t>
  </si>
  <si>
    <t>INVESTING ACTIVITIES</t>
  </si>
  <si>
    <t>Divident Pay out Ratio</t>
  </si>
  <si>
    <t xml:space="preserve">  Purchase of PP&amp;E and intagibles</t>
  </si>
  <si>
    <t>10.5</t>
  </si>
  <si>
    <t>Lease repayment Libilities</t>
  </si>
  <si>
    <t xml:space="preserve">  Proceeds on disposal of PP&amp;E and intigible assts</t>
  </si>
  <si>
    <t>Funds held in escrow</t>
  </si>
  <si>
    <t>Proceeds on disposal of Baby Wellbeing</t>
  </si>
  <si>
    <t>Proceeds on disposal Carozzi</t>
  </si>
  <si>
    <t>Investment in dual currency deposits</t>
  </si>
  <si>
    <t>Proceed from dual currency deposits</t>
  </si>
  <si>
    <t>Proceeds on disposal of investments</t>
  </si>
  <si>
    <t>proceeds from disposal of intangible assts</t>
  </si>
  <si>
    <t>Purchase of investments</t>
  </si>
  <si>
    <t>Cash disposal division</t>
  </si>
  <si>
    <t xml:space="preserve">loans acdived/ received </t>
  </si>
  <si>
    <t>insurence proceeds on PPE received relating to civil unrest</t>
  </si>
  <si>
    <t>investment in unit trust</t>
  </si>
  <si>
    <t>Net cash from investing activities</t>
  </si>
  <si>
    <t>FINANCING ACTIVITIES</t>
  </si>
  <si>
    <t xml:space="preserve">  Repayment of lease liabilities</t>
  </si>
  <si>
    <t>8.1</t>
  </si>
  <si>
    <t>Black Managers Trust(BMT) Shars excersed</t>
  </si>
  <si>
    <t>Repurchase of shares of shres for the equity-settled scheme</t>
  </si>
  <si>
    <t xml:space="preserve">  Repurchase of Tiger Brands shares</t>
  </si>
  <si>
    <t>7.2</t>
  </si>
  <si>
    <t xml:space="preserve">  Long-term borrowings raised/(paid)</t>
  </si>
  <si>
    <t>8.2</t>
  </si>
  <si>
    <t xml:space="preserve">  Short-term borrowings raised</t>
  </si>
  <si>
    <t>8.3</t>
  </si>
  <si>
    <t xml:space="preserve">  Short-term borrowings paid</t>
  </si>
  <si>
    <t>Short term borrowings paid/(raised)</t>
  </si>
  <si>
    <t>Net cash from financing activities</t>
  </si>
  <si>
    <t>CASH MOVEMENT</t>
  </si>
  <si>
    <t>Reclassification of cash and cash equialents to other receivables</t>
  </si>
  <si>
    <t xml:space="preserve">  Opening cash and cash equivalents</t>
  </si>
  <si>
    <t>10.6</t>
  </si>
  <si>
    <t>Closing cash and cash equivalents</t>
  </si>
  <si>
    <t>Tiger Brands Limited – Consolidated Statement of Financial Position</t>
  </si>
  <si>
    <t>Assumpions</t>
  </si>
  <si>
    <t>Average (AAG)</t>
  </si>
  <si>
    <t>PPI</t>
  </si>
  <si>
    <t>NON-CURRENT ASSETS</t>
  </si>
  <si>
    <t xml:space="preserve">Property Plant and equipment </t>
  </si>
  <si>
    <t>Baseline DSI</t>
  </si>
  <si>
    <t xml:space="preserve">  Property. plant and equipment</t>
  </si>
  <si>
    <t>4.1</t>
  </si>
  <si>
    <t>Intangible Assts</t>
  </si>
  <si>
    <t>Baseline Creditor Days</t>
  </si>
  <si>
    <t xml:space="preserve">  Right-of-use assets</t>
  </si>
  <si>
    <t>4.2</t>
  </si>
  <si>
    <t>Baseline Debtor</t>
  </si>
  <si>
    <t xml:space="preserve">  Goodwill</t>
  </si>
  <si>
    <t>5.1</t>
  </si>
  <si>
    <t xml:space="preserve">  Intangible assets</t>
  </si>
  <si>
    <t xml:space="preserve">  Investments in associated cos.</t>
  </si>
  <si>
    <t>5.2</t>
  </si>
  <si>
    <t xml:space="preserve">  Other investments</t>
  </si>
  <si>
    <t>4.4</t>
  </si>
  <si>
    <t xml:space="preserve">  Loans</t>
  </si>
  <si>
    <t>4.5</t>
  </si>
  <si>
    <t xml:space="preserve">  Deferred taxation asset</t>
  </si>
  <si>
    <t>3.2</t>
  </si>
  <si>
    <t>Total non-current assets</t>
  </si>
  <si>
    <t>4.6</t>
  </si>
  <si>
    <t>4.7</t>
  </si>
  <si>
    <t xml:space="preserve">  Tax receivable</t>
  </si>
  <si>
    <t xml:space="preserve">  Short-term investments</t>
  </si>
  <si>
    <t>4.8</t>
  </si>
  <si>
    <t>10.7</t>
  </si>
  <si>
    <t xml:space="preserve">  Assets classified as held for sale</t>
  </si>
  <si>
    <t>13.2</t>
  </si>
  <si>
    <t>TOTAL ASSETS</t>
  </si>
  <si>
    <t>EQUITY</t>
  </si>
  <si>
    <t xml:space="preserve">  Ordinary share capital &amp; premium</t>
  </si>
  <si>
    <t xml:space="preserve">  Non-distributable reserves</t>
  </si>
  <si>
    <t xml:space="preserve">  Accumulated profits</t>
  </si>
  <si>
    <t xml:space="preserve">  Treasury shares (subsidiary)</t>
  </si>
  <si>
    <t>7.4</t>
  </si>
  <si>
    <t xml:space="preserve">  Empowerment entity shares</t>
  </si>
  <si>
    <t xml:space="preserve">  Share-based payment reserve</t>
  </si>
  <si>
    <t>9.2</t>
  </si>
  <si>
    <t>Issued Capital and reserves</t>
  </si>
  <si>
    <t>Total equity</t>
  </si>
  <si>
    <t>NON-CURRENT LIABILITIES</t>
  </si>
  <si>
    <t xml:space="preserve">  Deferred taxation liability</t>
  </si>
  <si>
    <t xml:space="preserve">  Post-retirement medical aid (LT)</t>
  </si>
  <si>
    <t>9.4</t>
  </si>
  <si>
    <t xml:space="preserve">  Long-term borrowings</t>
  </si>
  <si>
    <t>Total non-current liabilities</t>
  </si>
  <si>
    <t>4.9</t>
  </si>
  <si>
    <t xml:space="preserve">  Rebates and incentives accruals</t>
  </si>
  <si>
    <t>4.10</t>
  </si>
  <si>
    <t>4.11</t>
  </si>
  <si>
    <t xml:space="preserve">  Post-retirement med aid (ST)</t>
  </si>
  <si>
    <t xml:space="preserve">  Liabilities – held for sale</t>
  </si>
  <si>
    <t>TOTAL EQUITY AND LIABILITIES</t>
  </si>
  <si>
    <t>Valuation Varience</t>
  </si>
  <si>
    <t xml:space="preserve">Investment Recommendation </t>
  </si>
  <si>
    <t xml:space="preserve">  Inventories as % of Cost of sales</t>
  </si>
  <si>
    <t xml:space="preserve">  Trade and other receivables as % of revanue</t>
  </si>
  <si>
    <t xml:space="preserve">  Trade and other payables as % of cost of sales</t>
  </si>
  <si>
    <t xml:space="preserve">DCF Instrinsic Value </t>
  </si>
  <si>
    <t>Current Market Price</t>
  </si>
  <si>
    <t>EBIT Margin</t>
  </si>
  <si>
    <t>Metric (FY2025)</t>
  </si>
  <si>
    <t>Premier Group</t>
  </si>
  <si>
    <t>Revenue (R'bn)</t>
  </si>
  <si>
    <t>EBIT (R'bn)</t>
  </si>
  <si>
    <t>Tiger Brand</t>
  </si>
  <si>
    <t>AVI ltd</t>
  </si>
  <si>
    <t>RCL Food</t>
  </si>
  <si>
    <t xml:space="preserve">Earning Per share </t>
  </si>
  <si>
    <t>EPS growth</t>
  </si>
  <si>
    <t>Peer Comparision</t>
  </si>
  <si>
    <t>Dividend Payout Ratio</t>
  </si>
  <si>
    <t>Dividend Cover Ratio</t>
  </si>
  <si>
    <t>BUY</t>
  </si>
  <si>
    <t xml:space="preserve">EBIT Growth </t>
  </si>
  <si>
    <t xml:space="preserve">Price to Earning Ratio </t>
  </si>
  <si>
    <t>Gross Profit Margin</t>
  </si>
  <si>
    <t>EV/EBITDA</t>
  </si>
  <si>
    <t>EBITDA(R'bn)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</si>
</sst>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
    <numFmt numFmtId="167" formatCode="0.0"/>
    <numFmt numFmtId="172" formatCode="yyyy\A"/>
  </numFmts>
  <fonts count="46">
    <font>
      <sz val="11"/>
      <color theme="1"/>
      <name val="Aptos Narrow"/>
      <family val="2"/>
      <charset val="1"/>
    </font>
    <font>
      <sz val="11"/>
      <color theme="1"/>
      <name val="Aptos Narrow"/>
      <family val="2"/>
      <scheme val="minor"/>
    </font>
    <font>
      <b/>
      <sz val="13"/>
      <color rgb="FFFFFFFF"/>
      <name val="Arial"/>
      <charset val="1"/>
    </font>
    <font>
      <i/>
      <sz val="9"/>
      <color rgb="FF595959"/>
      <name val="Arial"/>
      <charset val="1"/>
    </font>
    <font>
      <b/>
      <sz val="9"/>
      <color rgb="FFFFFFFF"/>
      <name val="Arial"/>
      <charset val="1"/>
    </font>
    <font>
      <b/>
      <sz val="10"/>
      <color rgb="FFFFFFFF"/>
      <name val="Arial"/>
      <charset val="1"/>
    </font>
    <font>
      <b/>
      <sz val="10"/>
      <color rgb="FFE05A00"/>
      <name val="Arial"/>
      <charset val="1"/>
    </font>
    <font>
      <sz val="9"/>
      <color rgb="FF2F2F2F"/>
      <name val="Arial"/>
      <charset val="1"/>
    </font>
    <font>
      <sz val="9"/>
      <color rgb="FF595959"/>
      <name val="Arial"/>
      <charset val="1"/>
    </font>
    <font>
      <b/>
      <sz val="9"/>
      <color rgb="FF2F2F2F"/>
      <name val="Arial"/>
      <charset val="1"/>
    </font>
    <font>
      <b/>
      <sz val="9"/>
      <color rgb="FF000000"/>
      <name val="Arial"/>
      <charset val="1"/>
    </font>
    <font>
      <i/>
      <sz val="8"/>
      <color rgb="FF595959"/>
      <name val="Arial"/>
      <charset val="1"/>
    </font>
    <font>
      <sz val="11"/>
      <color theme="1"/>
      <name val="Aptos Narrow"/>
      <family val="2"/>
      <charset val="1"/>
    </font>
    <font>
      <sz val="9"/>
      <color theme="1"/>
      <name val="Arial"/>
      <charset val="1"/>
    </font>
    <font>
      <b/>
      <sz val="9"/>
      <color rgb="FF2F2F2F"/>
      <name val="Arial"/>
    </font>
    <font>
      <sz val="9"/>
      <color rgb="FF2F2F2F"/>
      <name val="Arial"/>
    </font>
    <font>
      <b/>
      <sz val="9"/>
      <color theme="1"/>
      <name val="Arial"/>
      <charset val="1"/>
    </font>
    <font>
      <b/>
      <sz val="11"/>
      <color theme="1"/>
      <name val="Aptos Narrow"/>
      <family val="2"/>
      <charset val="1"/>
    </font>
    <font>
      <sz val="11"/>
      <color rgb="FFFFFFFF"/>
      <name val="Calibri"/>
    </font>
    <font>
      <sz val="11"/>
      <color rgb="FF000000"/>
      <name val="Calibri"/>
    </font>
    <font>
      <b/>
      <sz val="11"/>
      <color rgb="FF000000"/>
      <name val="Calibri"/>
    </font>
    <font>
      <sz val="11"/>
      <color rgb="FF0000FF"/>
      <name val="Calibri"/>
    </font>
    <font>
      <b/>
      <sz val="11"/>
      <color rgb="FF242424"/>
      <name val="Aptos Narrow"/>
      <charset val="1"/>
    </font>
    <font>
      <sz val="12"/>
      <color theme="1"/>
      <name val="Google Sans"/>
      <charset val="1"/>
    </font>
    <font>
      <b/>
      <sz val="12"/>
      <color rgb="FF000000"/>
      <name val="Google Sans"/>
    </font>
    <font>
      <sz val="11"/>
      <color theme="1"/>
      <name val="Calibri"/>
    </font>
    <font>
      <sz val="11"/>
      <color rgb="FF242424"/>
      <name val="Aptos Narrow"/>
      <charset val="1"/>
    </font>
    <font>
      <sz val="11"/>
      <color theme="0"/>
      <name val="Calibri"/>
    </font>
    <font>
      <sz val="11"/>
      <name val="Calibri"/>
    </font>
    <font>
      <b/>
      <sz val="11"/>
      <color theme="1"/>
      <name val="Aptos Narrow"/>
      <family val="2"/>
    </font>
    <font>
      <b/>
      <sz val="9"/>
      <color rgb="FF2F2F2F"/>
      <name val="Arial"/>
      <family val="2"/>
    </font>
    <font>
      <sz val="11"/>
      <color theme="0"/>
      <name val="Aptos Narrow"/>
      <family val="2"/>
      <charset val="1"/>
    </font>
    <font>
      <b/>
      <sz val="11"/>
      <color theme="0"/>
      <name val="Aptos Narrow"/>
      <family val="2"/>
    </font>
    <font>
      <sz val="9"/>
      <color rgb="FF2F2F2F"/>
      <name val="Arial"/>
      <family val="2"/>
    </font>
    <font>
      <b/>
      <sz val="9"/>
      <color rgb="FFFFFFFF"/>
      <name val="Arial"/>
      <family val="2"/>
    </font>
    <font>
      <sz val="9"/>
      <color rgb="FF000000"/>
      <name val="Arial"/>
      <family val="2"/>
    </font>
    <font>
      <b/>
      <sz val="11"/>
      <name val="Aptos Narrow"/>
      <family val="2"/>
    </font>
    <font>
      <sz val="9"/>
      <color indexed="81"/>
      <name val="Tahoma"/>
      <charset val="1"/>
    </font>
    <font>
      <b/>
      <sz val="9"/>
      <color indexed="81"/>
      <name val="Tahoma"/>
      <charset val="1"/>
    </font>
    <font>
      <sz val="11"/>
      <color theme="1"/>
      <name val="Calibri"/>
      <family val="2"/>
    </font>
    <font>
      <b/>
      <sz val="11"/>
      <color theme="1"/>
      <name val="Calibri"/>
      <family val="2"/>
    </font>
    <font>
      <sz val="11"/>
      <color theme="0"/>
      <name val="Calibri"/>
      <family val="2"/>
    </font>
    <font>
      <sz val="11"/>
      <name val="Calibri"/>
      <family val="2"/>
    </font>
    <font>
      <sz val="11"/>
      <color rgb="FF0000FF"/>
      <name val="Calibri"/>
      <family val="2"/>
    </font>
    <font>
      <sz val="9"/>
      <color indexed="81"/>
      <name val="Tahoma"/>
      <family val="2"/>
    </font>
    <font>
      <b/>
      <sz val="9"/>
      <color indexed="81"/>
      <name val="Tahoma"/>
      <family val="2"/>
    </font>
  </fonts>
  <fills count="24">
    <fill>
      <patternFill patternType="none"/>
    </fill>
    <fill>
      <patternFill patternType="gray125"/>
    </fill>
    <fill>
      <patternFill patternType="solid">
        <fgColor theme="5" tint="0.59987182226020086"/>
        <bgColor rgb="FFCCCCCC"/>
      </patternFill>
    </fill>
    <fill>
      <patternFill patternType="solid">
        <fgColor rgb="FF2F2F2F"/>
        <bgColor rgb="FF2E4057"/>
      </patternFill>
    </fill>
    <fill>
      <patternFill patternType="solid">
        <fgColor rgb="FFFDE9D9"/>
        <bgColor rgb="FFFFF2CC"/>
      </patternFill>
    </fill>
    <fill>
      <patternFill patternType="solid">
        <fgColor rgb="FFF2F2F2"/>
        <bgColor rgb="FFEBF3FB"/>
      </patternFill>
    </fill>
    <fill>
      <patternFill patternType="solid">
        <fgColor theme="5" tint="0.59999389629810485"/>
        <bgColor indexed="64"/>
      </patternFill>
    </fill>
    <fill>
      <patternFill patternType="solid">
        <fgColor rgb="FFFFFF00"/>
        <bgColor indexed="64"/>
      </patternFill>
    </fill>
    <fill>
      <patternFill patternType="solid">
        <fgColor theme="3" tint="0.749992370372631"/>
        <bgColor indexed="64"/>
      </patternFill>
    </fill>
    <fill>
      <patternFill patternType="solid">
        <fgColor rgb="FF2A3E68"/>
        <bgColor rgb="FF2A3E68"/>
      </patternFill>
    </fill>
    <fill>
      <patternFill patternType="solid">
        <fgColor rgb="FFD9E2F3"/>
        <bgColor rgb="FFD9E2F3"/>
      </patternFill>
    </fill>
    <fill>
      <patternFill patternType="solid">
        <fgColor rgb="FFFFFF99"/>
        <bgColor rgb="FFFFFF99"/>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2"/>
        <bgColor indexed="64"/>
      </patternFill>
    </fill>
    <fill>
      <patternFill patternType="solid">
        <fgColor theme="1"/>
        <bgColor indexed="64"/>
      </patternFill>
    </fill>
    <fill>
      <patternFill patternType="solid">
        <fgColor theme="1"/>
        <bgColor rgb="FF9C5700"/>
      </patternFill>
    </fill>
    <fill>
      <patternFill patternType="solid">
        <fgColor theme="0" tint="-0.14999847407452621"/>
        <bgColor indexed="64"/>
      </patternFill>
    </fill>
    <fill>
      <patternFill patternType="solid">
        <fgColor theme="0" tint="-4.9989318521683403E-2"/>
        <bgColor rgb="FFEBF3FB"/>
      </patternFill>
    </fill>
    <fill>
      <patternFill patternType="solid">
        <fgColor theme="0" tint="-4.9989318521683403E-2"/>
        <bgColor indexed="64"/>
      </patternFill>
    </fill>
    <fill>
      <patternFill patternType="solid">
        <fgColor rgb="FF1F3864"/>
        <bgColor indexed="64"/>
      </patternFill>
    </fill>
    <fill>
      <patternFill patternType="solid">
        <fgColor rgb="FFFFFFFF"/>
        <bgColor indexed="64"/>
      </patternFill>
    </fill>
  </fills>
  <borders count="68">
    <border>
      <left/>
      <right/>
      <top/>
      <bottom/>
      <diagonal/>
    </border>
    <border>
      <left/>
      <right/>
      <top style="thin">
        <color rgb="FFCCCCCC"/>
      </top>
      <bottom style="thin">
        <color rgb="FFCCCCCC"/>
      </bottom>
      <diagonal/>
    </border>
    <border>
      <left/>
      <right style="thin">
        <color rgb="FFCCCCCC"/>
      </right>
      <top/>
      <bottom/>
      <diagonal/>
    </border>
    <border>
      <left/>
      <right style="thin">
        <color rgb="FFCCCCCC"/>
      </right>
      <top style="thin">
        <color rgb="FF2F2F2F"/>
      </top>
      <bottom style="double">
        <color rgb="FF2F2F2F"/>
      </bottom>
      <diagonal/>
    </border>
    <border>
      <left/>
      <right/>
      <top style="thin">
        <color rgb="FF000000"/>
      </top>
      <bottom style="medium">
        <color rgb="FF000000"/>
      </bottom>
      <diagonal/>
    </border>
    <border>
      <left/>
      <right/>
      <top style="thin">
        <color rgb="FF000000"/>
      </top>
      <bottom style="double">
        <color rgb="FF000000"/>
      </bottom>
      <diagonal/>
    </border>
    <border>
      <left/>
      <right style="thin">
        <color rgb="FFCCCCCC"/>
      </right>
      <top style="thin">
        <color rgb="FF000000"/>
      </top>
      <bottom style="double">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CCCCCC"/>
      </right>
      <top style="thin">
        <color rgb="FF000000"/>
      </top>
      <bottom/>
      <diagonal/>
    </border>
    <border>
      <left/>
      <right/>
      <top style="thin">
        <color rgb="FF000000"/>
      </top>
      <bottom/>
      <diagonal/>
    </border>
    <border>
      <left style="thin">
        <color rgb="FF000000"/>
      </left>
      <right style="thin">
        <color rgb="FFCCCCCC"/>
      </right>
      <top style="thin">
        <color rgb="FF000000"/>
      </top>
      <bottom/>
      <diagonal/>
    </border>
    <border>
      <left/>
      <right style="thin">
        <color rgb="FF000000"/>
      </right>
      <top style="thin">
        <color rgb="FF000000"/>
      </top>
      <bottom/>
      <diagonal/>
    </border>
    <border>
      <left style="thin">
        <color rgb="FF000000"/>
      </left>
      <right style="thin">
        <color rgb="FFCCCCCC"/>
      </right>
      <top/>
      <bottom/>
      <diagonal/>
    </border>
    <border>
      <left/>
      <right style="thin">
        <color rgb="FF000000"/>
      </right>
      <top/>
      <bottom/>
      <diagonal/>
    </border>
    <border>
      <left style="thin">
        <color rgb="FF000000"/>
      </left>
      <right style="thin">
        <color rgb="FFCCCCCC"/>
      </right>
      <top/>
      <bottom style="thin">
        <color rgb="FF000000"/>
      </bottom>
      <diagonal/>
    </border>
    <border>
      <left/>
      <right style="thin">
        <color rgb="FFCCCCCC"/>
      </right>
      <top/>
      <bottom style="thin">
        <color rgb="FF000000"/>
      </bottom>
      <diagonal/>
    </border>
    <border>
      <left/>
      <right style="thin">
        <color rgb="FF000000"/>
      </right>
      <top/>
      <bottom style="thin">
        <color rgb="FF000000"/>
      </bottom>
      <diagonal/>
    </border>
    <border>
      <left/>
      <right/>
      <top style="thin">
        <color rgb="FFCCCCCC"/>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CCCCCC"/>
      </top>
      <bottom style="thin">
        <color rgb="FFCCCCCC"/>
      </bottom>
      <diagonal/>
    </border>
    <border>
      <left/>
      <right style="thin">
        <color rgb="FF000000"/>
      </right>
      <top style="thin">
        <color rgb="FF000000"/>
      </top>
      <bottom style="double">
        <color rgb="FF000000"/>
      </bottom>
      <diagonal/>
    </border>
    <border>
      <left/>
      <right style="thin">
        <color rgb="FFCCCCCC"/>
      </right>
      <top style="thin">
        <color rgb="FF2F2F2F"/>
      </top>
      <bottom style="thin">
        <color rgb="FF000000"/>
      </bottom>
      <diagonal/>
    </border>
    <border>
      <left/>
      <right style="thin">
        <color rgb="FFCCCCCC"/>
      </right>
      <top style="thin">
        <color rgb="FF000000"/>
      </top>
      <bottom style="thin">
        <color rgb="FF000000"/>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double">
        <color rgb="FF000000"/>
      </bottom>
      <diagonal/>
    </border>
    <border>
      <left/>
      <right style="thin">
        <color indexed="64"/>
      </right>
      <top style="thin">
        <color rgb="FF000000"/>
      </top>
      <bottom/>
      <diagonal/>
    </border>
    <border>
      <left style="thin">
        <color rgb="FFCCCCCC"/>
      </left>
      <right/>
      <top style="thin">
        <color indexed="64"/>
      </top>
      <bottom style="double">
        <color indexed="64"/>
      </bottom>
      <diagonal/>
    </border>
    <border>
      <left/>
      <right/>
      <top style="thin">
        <color indexed="64"/>
      </top>
      <bottom style="double">
        <color indexed="64"/>
      </bottom>
      <diagonal/>
    </border>
    <border>
      <left/>
      <right style="thin">
        <color rgb="FF000000"/>
      </right>
      <top style="thin">
        <color indexed="64"/>
      </top>
      <bottom style="double">
        <color indexed="64"/>
      </bottom>
      <diagonal/>
    </border>
    <border>
      <left style="thin">
        <color indexed="64"/>
      </left>
      <right/>
      <top/>
      <bottom/>
      <diagonal/>
    </border>
    <border>
      <left style="thin">
        <color rgb="FFCCCCCC"/>
      </left>
      <right style="thin">
        <color rgb="FFCCCCCC"/>
      </right>
      <top style="thin">
        <color indexed="64"/>
      </top>
      <bottom style="double">
        <color indexed="64"/>
      </bottom>
      <diagonal/>
    </border>
    <border>
      <left style="thin">
        <color rgb="FFCCCCCC"/>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rgb="FFCCCCCC"/>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CCCCCC"/>
      </left>
      <right/>
      <top/>
      <bottom/>
      <diagonal/>
    </border>
    <border>
      <left style="thin">
        <color indexed="64"/>
      </left>
      <right style="medium">
        <color rgb="FF1F3864"/>
      </right>
      <top style="thin">
        <color indexed="64"/>
      </top>
      <bottom style="medium">
        <color rgb="FF1F3864"/>
      </bottom>
      <diagonal/>
    </border>
    <border>
      <left/>
      <right style="medium">
        <color rgb="FF1F3864"/>
      </right>
      <top style="thin">
        <color indexed="64"/>
      </top>
      <bottom style="medium">
        <color rgb="FF1F3864"/>
      </bottom>
      <diagonal/>
    </border>
    <border>
      <left/>
      <right style="thin">
        <color indexed="64"/>
      </right>
      <top style="thin">
        <color indexed="64"/>
      </top>
      <bottom style="medium">
        <color rgb="FF1F3864"/>
      </bottom>
      <diagonal/>
    </border>
    <border>
      <left style="thin">
        <color indexed="64"/>
      </left>
      <right style="medium">
        <color rgb="FFCCCCCC"/>
      </right>
      <top/>
      <bottom/>
      <diagonal/>
    </border>
  </borders>
  <cellStyleXfs count="3">
    <xf numFmtId="0" fontId="0" fillId="0" borderId="0"/>
    <xf numFmtId="9" fontId="12" fillId="0" borderId="0"/>
    <xf numFmtId="0" fontId="1" fillId="0" borderId="0"/>
  </cellStyleXfs>
  <cellXfs count="361">
    <xf numFmtId="0" fontId="0" fillId="0" borderId="0" xfId="0"/>
    <xf numFmtId="0" fontId="0" fillId="0" borderId="0" xfId="0" applyFont="1"/>
    <xf numFmtId="0" fontId="4" fillId="3" borderId="0" xfId="0" applyFont="1" applyFill="1" applyAlignment="1">
      <alignment horizontal="left" vertical="center"/>
    </xf>
    <xf numFmtId="0" fontId="4" fillId="3" borderId="0" xfId="0" applyFont="1" applyFill="1" applyAlignment="1">
      <alignment horizontal="center" vertical="center"/>
    </xf>
    <xf numFmtId="0" fontId="5" fillId="3" borderId="0" xfId="0" applyFont="1" applyFill="1" applyAlignment="1">
      <alignment horizontal="right" vertical="center"/>
    </xf>
    <xf numFmtId="164" fontId="0" fillId="0" borderId="0" xfId="0" applyNumberFormat="1" applyFont="1"/>
    <xf numFmtId="0" fontId="6" fillId="4" borderId="1" xfId="0" applyFont="1" applyFill="1" applyBorder="1" applyAlignment="1">
      <alignment horizontal="left" vertical="center"/>
    </xf>
    <xf numFmtId="0" fontId="0" fillId="4" borderId="1" xfId="0" applyFont="1" applyFill="1" applyBorder="1"/>
    <xf numFmtId="0" fontId="7" fillId="0" borderId="2" xfId="0" applyFont="1" applyBorder="1" applyAlignment="1">
      <alignment horizontal="left" vertical="center"/>
    </xf>
    <xf numFmtId="0" fontId="8" fillId="0" borderId="0" xfId="0" applyFont="1"/>
    <xf numFmtId="10" fontId="0" fillId="0" borderId="0" xfId="0" applyNumberFormat="1" applyFont="1"/>
    <xf numFmtId="0" fontId="9" fillId="5" borderId="2" xfId="0" applyFont="1" applyFill="1" applyBorder="1" applyAlignment="1">
      <alignment horizontal="left" vertical="center"/>
    </xf>
    <xf numFmtId="164" fontId="10" fillId="5" borderId="3" xfId="0" applyNumberFormat="1" applyFont="1" applyFill="1" applyBorder="1" applyAlignment="1">
      <alignment horizontal="right" vertical="center"/>
    </xf>
    <xf numFmtId="164" fontId="0" fillId="0" borderId="0" xfId="0" applyNumberFormat="1"/>
    <xf numFmtId="10" fontId="0" fillId="0" borderId="0" xfId="0" applyNumberFormat="1"/>
    <xf numFmtId="1" fontId="0" fillId="0" borderId="0" xfId="0" applyNumberFormat="1"/>
    <xf numFmtId="164" fontId="13" fillId="0" borderId="2" xfId="0" applyNumberFormat="1" applyFont="1" applyBorder="1" applyAlignment="1">
      <alignment horizontal="right" vertical="center"/>
    </xf>
    <xf numFmtId="2" fontId="13" fillId="0" borderId="2" xfId="0" applyNumberFormat="1" applyFont="1" applyBorder="1" applyAlignment="1">
      <alignment horizontal="right" vertical="center"/>
    </xf>
    <xf numFmtId="0" fontId="13" fillId="0" borderId="2" xfId="0" applyNumberFormat="1" applyFont="1" applyBorder="1" applyAlignment="1">
      <alignment horizontal="right" vertical="center"/>
    </xf>
    <xf numFmtId="0" fontId="10" fillId="5" borderId="3" xfId="0" applyNumberFormat="1" applyFont="1" applyFill="1" applyBorder="1" applyAlignment="1">
      <alignment horizontal="right" vertical="center"/>
    </xf>
    <xf numFmtId="0" fontId="0" fillId="0" borderId="0" xfId="0" applyNumberFormat="1"/>
    <xf numFmtId="0" fontId="0" fillId="4" borderId="1" xfId="0" applyNumberFormat="1" applyFont="1" applyFill="1" applyBorder="1"/>
    <xf numFmtId="0" fontId="15" fillId="0" borderId="2" xfId="0" applyFont="1" applyBorder="1" applyAlignment="1">
      <alignment horizontal="left" vertical="center" wrapText="1"/>
    </xf>
    <xf numFmtId="164" fontId="16" fillId="5" borderId="3" xfId="0" applyNumberFormat="1" applyFont="1" applyFill="1" applyBorder="1" applyAlignment="1">
      <alignment horizontal="right" vertical="center"/>
    </xf>
    <xf numFmtId="164" fontId="0" fillId="0" borderId="0" xfId="0" applyNumberFormat="1" applyBorder="1"/>
    <xf numFmtId="0" fontId="9" fillId="0" borderId="2" xfId="0" applyFont="1" applyFill="1" applyBorder="1" applyAlignment="1">
      <alignment horizontal="left" vertical="center"/>
    </xf>
    <xf numFmtId="0" fontId="9" fillId="0" borderId="6" xfId="0" applyFont="1" applyFill="1" applyBorder="1" applyAlignment="1">
      <alignment horizontal="left" vertical="center"/>
    </xf>
    <xf numFmtId="0" fontId="0" fillId="0" borderId="7" xfId="0" applyBorder="1"/>
    <xf numFmtId="0" fontId="17" fillId="0" borderId="0" xfId="0" applyFont="1"/>
    <xf numFmtId="1" fontId="13" fillId="0" borderId="2" xfId="0" applyNumberFormat="1" applyFont="1" applyBorder="1" applyAlignment="1">
      <alignment horizontal="right" vertical="center"/>
    </xf>
    <xf numFmtId="1" fontId="10" fillId="0" borderId="5" xfId="0" applyNumberFormat="1" applyFont="1" applyFill="1" applyBorder="1" applyAlignment="1">
      <alignment horizontal="right" vertical="center"/>
    </xf>
    <xf numFmtId="1" fontId="0" fillId="0" borderId="0" xfId="0" applyNumberFormat="1" applyFill="1"/>
    <xf numFmtId="0" fontId="0" fillId="0" borderId="8" xfId="0" applyBorder="1"/>
    <xf numFmtId="0" fontId="0" fillId="0" borderId="9" xfId="0" applyBorder="1"/>
    <xf numFmtId="0" fontId="0" fillId="0" borderId="10" xfId="0" applyBorder="1"/>
    <xf numFmtId="0" fontId="0" fillId="0" borderId="11" xfId="0" applyBorder="1"/>
    <xf numFmtId="10" fontId="0" fillId="0" borderId="11" xfId="0" applyNumberFormat="1" applyBorder="1"/>
    <xf numFmtId="9" fontId="0" fillId="8" borderId="11" xfId="0" applyNumberFormat="1" applyFont="1" applyFill="1" applyBorder="1"/>
    <xf numFmtId="9" fontId="0" fillId="8" borderId="11" xfId="0" applyNumberFormat="1" applyFill="1" applyBorder="1"/>
    <xf numFmtId="0" fontId="0" fillId="8" borderId="11" xfId="0" applyFill="1" applyBorder="1"/>
    <xf numFmtId="0" fontId="0" fillId="0" borderId="12" xfId="0" applyBorder="1"/>
    <xf numFmtId="10" fontId="0" fillId="0" borderId="13" xfId="0" applyNumberFormat="1" applyBorder="1"/>
    <xf numFmtId="0" fontId="18" fillId="9" borderId="0" xfId="0" applyFont="1" applyFill="1" applyAlignment="1"/>
    <xf numFmtId="0" fontId="19" fillId="10" borderId="14" xfId="0" applyFont="1" applyFill="1" applyBorder="1" applyAlignment="1"/>
    <xf numFmtId="0" fontId="19" fillId="0" borderId="0" xfId="0" applyFont="1" applyFill="1" applyBorder="1" applyAlignment="1"/>
    <xf numFmtId="0" fontId="20" fillId="0" borderId="7" xfId="0" applyFont="1" applyFill="1" applyBorder="1" applyAlignment="1"/>
    <xf numFmtId="0" fontId="20" fillId="0" borderId="0" xfId="0" applyFont="1" applyFill="1" applyAlignment="1"/>
    <xf numFmtId="0" fontId="21" fillId="0" borderId="0" xfId="0" applyFont="1" applyFill="1" applyBorder="1" applyAlignment="1"/>
    <xf numFmtId="0" fontId="19" fillId="0" borderId="7" xfId="0" applyFont="1" applyFill="1" applyBorder="1" applyAlignment="1"/>
    <xf numFmtId="0" fontId="20" fillId="11" borderId="7" xfId="0" applyFont="1" applyFill="1" applyBorder="1" applyAlignment="1"/>
    <xf numFmtId="0" fontId="0" fillId="13" borderId="0" xfId="0" applyFill="1"/>
    <xf numFmtId="0" fontId="0" fillId="12" borderId="14" xfId="0" applyFill="1" applyBorder="1"/>
    <xf numFmtId="0" fontId="0" fillId="13" borderId="0" xfId="0" applyFont="1" applyFill="1"/>
    <xf numFmtId="10" fontId="19" fillId="0" borderId="0" xfId="0" applyNumberFormat="1" applyFont="1" applyFill="1" applyBorder="1" applyAlignment="1"/>
    <xf numFmtId="1" fontId="19" fillId="0" borderId="0" xfId="0" applyNumberFormat="1" applyFont="1" applyFill="1" applyBorder="1" applyAlignment="1"/>
    <xf numFmtId="164" fontId="0" fillId="0" borderId="5" xfId="0" applyNumberFormat="1" applyFont="1" applyBorder="1"/>
    <xf numFmtId="0" fontId="7" fillId="0" borderId="2" xfId="0" applyFont="1" applyFill="1" applyBorder="1" applyAlignment="1">
      <alignment horizontal="left" vertical="center"/>
    </xf>
    <xf numFmtId="0" fontId="6" fillId="0" borderId="1" xfId="0" applyFont="1" applyFill="1" applyBorder="1" applyAlignment="1">
      <alignment horizontal="left" vertical="center"/>
    </xf>
    <xf numFmtId="0" fontId="0" fillId="0" borderId="16" xfId="0" applyBorder="1"/>
    <xf numFmtId="164" fontId="13" fillId="0" borderId="15" xfId="0" applyNumberFormat="1" applyFont="1" applyBorder="1" applyAlignment="1">
      <alignment horizontal="right" vertical="center"/>
    </xf>
    <xf numFmtId="164" fontId="0" fillId="0" borderId="0" xfId="0" applyNumberFormat="1" applyFont="1" applyBorder="1"/>
    <xf numFmtId="0" fontId="9" fillId="0" borderId="0" xfId="0" applyFont="1" applyFill="1" applyBorder="1" applyAlignment="1">
      <alignment horizontal="left" vertical="center"/>
    </xf>
    <xf numFmtId="0" fontId="0" fillId="6" borderId="0" xfId="0" applyFill="1"/>
    <xf numFmtId="0" fontId="0" fillId="14" borderId="0" xfId="0" applyFill="1"/>
    <xf numFmtId="164" fontId="0" fillId="14" borderId="0" xfId="0" applyNumberFormat="1" applyFill="1"/>
    <xf numFmtId="0" fontId="0" fillId="0" borderId="0" xfId="0" applyFill="1"/>
    <xf numFmtId="0" fontId="3" fillId="2" borderId="0" xfId="0" applyFont="1" applyFill="1" applyBorder="1" applyAlignment="1">
      <alignment horizontal="center" vertical="center"/>
    </xf>
    <xf numFmtId="164" fontId="13" fillId="0" borderId="17" xfId="0" applyNumberFormat="1" applyFont="1" applyBorder="1" applyAlignment="1">
      <alignment horizontal="right" vertical="center"/>
    </xf>
    <xf numFmtId="164" fontId="13" fillId="0" borderId="18" xfId="0" applyNumberFormat="1" applyFont="1" applyBorder="1" applyAlignment="1">
      <alignment horizontal="right" vertical="center"/>
    </xf>
    <xf numFmtId="164" fontId="13" fillId="0" borderId="19" xfId="0" applyNumberFormat="1" applyFont="1" applyBorder="1" applyAlignment="1">
      <alignment horizontal="right" vertical="center"/>
    </xf>
    <xf numFmtId="164" fontId="13" fillId="0" borderId="20" xfId="0" applyNumberFormat="1" applyFont="1" applyBorder="1" applyAlignment="1">
      <alignment horizontal="right" vertical="center"/>
    </xf>
    <xf numFmtId="164" fontId="13" fillId="0" borderId="21" xfId="0" applyNumberFormat="1" applyFont="1" applyBorder="1" applyAlignment="1">
      <alignment horizontal="right" vertical="center"/>
    </xf>
    <xf numFmtId="164" fontId="13" fillId="0" borderId="22" xfId="0" applyNumberFormat="1" applyFont="1" applyBorder="1" applyAlignment="1">
      <alignment horizontal="right" vertical="center"/>
    </xf>
    <xf numFmtId="164" fontId="13" fillId="0" borderId="23" xfId="0" applyNumberFormat="1" applyFont="1" applyBorder="1" applyAlignment="1">
      <alignment horizontal="right" vertical="center"/>
    </xf>
    <xf numFmtId="0" fontId="0" fillId="4" borderId="24" xfId="0" applyFont="1" applyFill="1" applyBorder="1"/>
    <xf numFmtId="164" fontId="16" fillId="0" borderId="2" xfId="0" applyNumberFormat="1" applyFont="1" applyBorder="1" applyAlignment="1">
      <alignment horizontal="right" vertical="center"/>
    </xf>
    <xf numFmtId="0" fontId="0" fillId="0" borderId="18" xfId="0" applyBorder="1"/>
    <xf numFmtId="0" fontId="4" fillId="3" borderId="29" xfId="0" applyFont="1" applyFill="1" applyBorder="1" applyAlignment="1">
      <alignment horizontal="left" vertical="center"/>
    </xf>
    <xf numFmtId="0" fontId="4" fillId="3" borderId="0" xfId="0" applyFont="1" applyFill="1" applyBorder="1" applyAlignment="1">
      <alignment horizontal="center" vertical="center"/>
    </xf>
    <xf numFmtId="0" fontId="5" fillId="3" borderId="0" xfId="0" applyFont="1" applyFill="1" applyBorder="1" applyAlignment="1">
      <alignment horizontal="right" vertical="center"/>
    </xf>
    <xf numFmtId="0" fontId="0" fillId="0" borderId="0" xfId="0" applyBorder="1"/>
    <xf numFmtId="0" fontId="0" fillId="0" borderId="20" xfId="0" applyBorder="1"/>
    <xf numFmtId="0" fontId="6" fillId="4" borderId="30" xfId="0" applyFont="1" applyFill="1" applyBorder="1" applyAlignment="1">
      <alignment horizontal="left" vertical="center"/>
    </xf>
    <xf numFmtId="0" fontId="7" fillId="0" borderId="19" xfId="0" applyFont="1" applyFill="1" applyBorder="1" applyAlignment="1">
      <alignment horizontal="left" vertical="center"/>
    </xf>
    <xf numFmtId="0" fontId="8" fillId="0" borderId="0" xfId="0" applyFont="1" applyBorder="1"/>
    <xf numFmtId="0" fontId="0" fillId="0" borderId="0" xfId="0" applyFont="1" applyBorder="1"/>
    <xf numFmtId="0" fontId="0" fillId="0" borderId="20" xfId="0" applyFont="1" applyBorder="1"/>
    <xf numFmtId="0" fontId="9" fillId="5" borderId="19" xfId="0" applyFont="1" applyFill="1" applyBorder="1" applyAlignment="1">
      <alignment horizontal="left" vertical="center"/>
    </xf>
    <xf numFmtId="0" fontId="0" fillId="5" borderId="0" xfId="0" applyFont="1" applyFill="1" applyBorder="1"/>
    <xf numFmtId="0" fontId="7" fillId="0" borderId="19" xfId="0" applyFont="1" applyBorder="1" applyAlignment="1">
      <alignment horizontal="left" vertical="center"/>
    </xf>
    <xf numFmtId="1" fontId="0" fillId="0" borderId="0" xfId="0" applyNumberFormat="1" applyBorder="1"/>
    <xf numFmtId="1" fontId="0" fillId="0" borderId="20" xfId="0" applyNumberFormat="1" applyBorder="1"/>
    <xf numFmtId="0" fontId="0" fillId="0" borderId="29" xfId="0" applyFont="1" applyBorder="1"/>
    <xf numFmtId="1" fontId="0" fillId="0" borderId="0" xfId="0" applyNumberFormat="1" applyFont="1" applyBorder="1"/>
    <xf numFmtId="1" fontId="0" fillId="0" borderId="20" xfId="0" applyNumberFormat="1" applyFont="1" applyBorder="1"/>
    <xf numFmtId="164" fontId="0" fillId="0" borderId="20" xfId="0" applyNumberFormat="1" applyBorder="1"/>
    <xf numFmtId="0" fontId="0" fillId="5" borderId="14" xfId="0" applyFont="1" applyFill="1" applyBorder="1"/>
    <xf numFmtId="165" fontId="0" fillId="0" borderId="0" xfId="0" applyNumberFormat="1" applyFill="1"/>
    <xf numFmtId="165" fontId="21" fillId="0" borderId="0" xfId="0" applyNumberFormat="1" applyFont="1" applyFill="1" applyBorder="1" applyAlignment="1"/>
    <xf numFmtId="0" fontId="23" fillId="0" borderId="0" xfId="0" applyFont="1"/>
    <xf numFmtId="0" fontId="9" fillId="0" borderId="33" xfId="0" applyFont="1" applyFill="1" applyBorder="1" applyAlignment="1">
      <alignment horizontal="left" vertical="center"/>
    </xf>
    <xf numFmtId="1" fontId="0" fillId="0" borderId="7" xfId="0" applyNumberFormat="1" applyFont="1" applyFill="1" applyBorder="1"/>
    <xf numFmtId="0" fontId="17" fillId="0" borderId="7" xfId="0" applyFont="1" applyBorder="1"/>
    <xf numFmtId="1" fontId="13" fillId="0" borderId="33" xfId="0" applyNumberFormat="1" applyFont="1" applyBorder="1" applyAlignment="1">
      <alignment horizontal="right" vertical="center"/>
    </xf>
    <xf numFmtId="1" fontId="0" fillId="0" borderId="7" xfId="0" applyNumberFormat="1" applyBorder="1"/>
    <xf numFmtId="10" fontId="0" fillId="0" borderId="0" xfId="1" applyNumberFormat="1" applyFont="1" applyBorder="1"/>
    <xf numFmtId="10" fontId="0" fillId="0" borderId="20" xfId="1" applyNumberFormat="1" applyFont="1" applyBorder="1"/>
    <xf numFmtId="10" fontId="0" fillId="0" borderId="0" xfId="0" applyNumberFormat="1" applyBorder="1"/>
    <xf numFmtId="10" fontId="0" fillId="0" borderId="20" xfId="0" applyNumberFormat="1" applyBorder="1"/>
    <xf numFmtId="9" fontId="0" fillId="0" borderId="0" xfId="1" applyFont="1" applyBorder="1"/>
    <xf numFmtId="9" fontId="0" fillId="0" borderId="20" xfId="1" applyFont="1" applyBorder="1"/>
    <xf numFmtId="0" fontId="0" fillId="0" borderId="26" xfId="0" applyFont="1" applyBorder="1"/>
    <xf numFmtId="164" fontId="0" fillId="0" borderId="20" xfId="0" applyNumberFormat="1" applyFont="1" applyBorder="1"/>
    <xf numFmtId="0" fontId="9" fillId="0" borderId="19" xfId="0" applyFont="1" applyFill="1" applyBorder="1" applyAlignment="1">
      <alignment horizontal="left" vertical="center"/>
    </xf>
    <xf numFmtId="0" fontId="22" fillId="0" borderId="29" xfId="0" applyFont="1" applyBorder="1"/>
    <xf numFmtId="0" fontId="0" fillId="0" borderId="0" xfId="0" applyNumberFormat="1" applyBorder="1"/>
    <xf numFmtId="0" fontId="6" fillId="0" borderId="30" xfId="0" applyFont="1" applyFill="1" applyBorder="1" applyAlignment="1">
      <alignment horizontal="left" vertical="center"/>
    </xf>
    <xf numFmtId="0" fontId="0" fillId="0" borderId="0" xfId="0" applyNumberFormat="1" applyFont="1" applyBorder="1"/>
    <xf numFmtId="0" fontId="14" fillId="0" borderId="19" xfId="0" applyFont="1" applyBorder="1" applyAlignment="1">
      <alignment horizontal="left" vertical="center" wrapText="1"/>
    </xf>
    <xf numFmtId="0" fontId="9" fillId="0" borderId="21" xfId="0" applyFont="1" applyFill="1" applyBorder="1" applyAlignment="1">
      <alignment horizontal="left" vertical="center"/>
    </xf>
    <xf numFmtId="165" fontId="0" fillId="0" borderId="0" xfId="0" applyNumberFormat="1"/>
    <xf numFmtId="1" fontId="10" fillId="5" borderId="3" xfId="0" applyNumberFormat="1" applyFont="1" applyFill="1" applyBorder="1" applyAlignment="1">
      <alignment horizontal="right" vertical="center"/>
    </xf>
    <xf numFmtId="1" fontId="0" fillId="4" borderId="7" xfId="0" applyNumberFormat="1" applyFont="1" applyFill="1" applyBorder="1"/>
    <xf numFmtId="1" fontId="16" fillId="0" borderId="6" xfId="0" applyNumberFormat="1" applyFont="1" applyBorder="1" applyAlignment="1">
      <alignment horizontal="right" vertical="center"/>
    </xf>
    <xf numFmtId="1" fontId="10" fillId="5" borderId="32" xfId="0" applyNumberFormat="1" applyFont="1" applyFill="1" applyBorder="1" applyAlignment="1">
      <alignment horizontal="right" vertical="center"/>
    </xf>
    <xf numFmtId="9" fontId="0" fillId="0" borderId="0" xfId="0" applyNumberFormat="1"/>
    <xf numFmtId="0" fontId="17" fillId="0" borderId="0" xfId="0" applyFont="1" applyBorder="1"/>
    <xf numFmtId="0" fontId="20" fillId="0" borderId="0" xfId="0" applyFont="1" applyFill="1" applyBorder="1" applyAlignment="1"/>
    <xf numFmtId="0" fontId="18" fillId="9" borderId="0" xfId="0" applyFont="1" applyFill="1" applyBorder="1" applyAlignment="1"/>
    <xf numFmtId="1" fontId="0" fillId="14" borderId="0" xfId="0" applyNumberFormat="1" applyFill="1"/>
    <xf numFmtId="10" fontId="0" fillId="0" borderId="29" xfId="0" applyNumberFormat="1" applyBorder="1"/>
    <xf numFmtId="0" fontId="0" fillId="0" borderId="26" xfId="0" applyBorder="1"/>
    <xf numFmtId="0" fontId="0" fillId="0" borderId="14" xfId="0" applyBorder="1"/>
    <xf numFmtId="0" fontId="0" fillId="0" borderId="23" xfId="0" applyBorder="1"/>
    <xf numFmtId="0" fontId="17" fillId="0" borderId="25" xfId="0" applyFont="1" applyBorder="1"/>
    <xf numFmtId="0" fontId="17" fillId="0" borderId="29" xfId="0" applyFont="1" applyBorder="1"/>
    <xf numFmtId="0" fontId="17" fillId="0" borderId="20" xfId="0" applyFont="1" applyBorder="1"/>
    <xf numFmtId="1" fontId="20" fillId="0" borderId="7" xfId="0" applyNumberFormat="1" applyFont="1" applyFill="1" applyBorder="1" applyAlignment="1"/>
    <xf numFmtId="0" fontId="18" fillId="6" borderId="0" xfId="0" applyFont="1" applyFill="1" applyBorder="1" applyAlignment="1"/>
    <xf numFmtId="0" fontId="25" fillId="6" borderId="0" xfId="0" applyFont="1" applyFill="1" applyBorder="1" applyAlignment="1"/>
    <xf numFmtId="0" fontId="19" fillId="15" borderId="14" xfId="0" applyFont="1" applyFill="1" applyBorder="1" applyAlignment="1"/>
    <xf numFmtId="0" fontId="0" fillId="15" borderId="0" xfId="0" applyFill="1"/>
    <xf numFmtId="0" fontId="0" fillId="15" borderId="14" xfId="0" applyFill="1" applyBorder="1"/>
    <xf numFmtId="0" fontId="9" fillId="16" borderId="33" xfId="0" applyFont="1" applyFill="1" applyBorder="1" applyAlignment="1">
      <alignment horizontal="left" vertical="center"/>
    </xf>
    <xf numFmtId="0" fontId="9" fillId="5" borderId="33" xfId="0" applyFont="1" applyFill="1" applyBorder="1" applyAlignment="1">
      <alignment horizontal="left" vertical="center"/>
    </xf>
    <xf numFmtId="0" fontId="6" fillId="4" borderId="34" xfId="0" applyFont="1" applyFill="1" applyBorder="1" applyAlignment="1">
      <alignment horizontal="left" vertical="center"/>
    </xf>
    <xf numFmtId="0" fontId="0" fillId="4" borderId="35" xfId="0" applyFont="1" applyFill="1" applyBorder="1"/>
    <xf numFmtId="0" fontId="7" fillId="0" borderId="19" xfId="0" applyFont="1" applyBorder="1" applyAlignment="1">
      <alignment horizontal="left" vertical="center" wrapText="1"/>
    </xf>
    <xf numFmtId="0" fontId="7" fillId="0" borderId="17" xfId="0" applyFont="1" applyFill="1" applyBorder="1" applyAlignment="1">
      <alignment horizontal="left" vertical="center"/>
    </xf>
    <xf numFmtId="0" fontId="9" fillId="5" borderId="21" xfId="0" applyFont="1" applyFill="1" applyBorder="1" applyAlignment="1">
      <alignment horizontal="left" vertical="center"/>
    </xf>
    <xf numFmtId="164" fontId="10" fillId="5" borderId="32" xfId="0" applyNumberFormat="1" applyFont="1" applyFill="1" applyBorder="1" applyAlignment="1">
      <alignment horizontal="right" vertical="center"/>
    </xf>
    <xf numFmtId="1" fontId="0" fillId="15" borderId="0" xfId="0" applyNumberFormat="1" applyFill="1" applyBorder="1"/>
    <xf numFmtId="1" fontId="0" fillId="15" borderId="20" xfId="0" applyNumberFormat="1" applyFill="1" applyBorder="1"/>
    <xf numFmtId="0" fontId="0" fillId="15" borderId="35" xfId="0" applyFont="1" applyFill="1" applyBorder="1"/>
    <xf numFmtId="0" fontId="0" fillId="15" borderId="16" xfId="0" applyFill="1" applyBorder="1"/>
    <xf numFmtId="0" fontId="0" fillId="15" borderId="18" xfId="0" applyFill="1" applyBorder="1"/>
    <xf numFmtId="0" fontId="0" fillId="15" borderId="0" xfId="0" applyFont="1" applyFill="1"/>
    <xf numFmtId="10" fontId="0" fillId="15" borderId="0" xfId="0" applyNumberFormat="1" applyFill="1"/>
    <xf numFmtId="0" fontId="7" fillId="15" borderId="2" xfId="0" applyFont="1" applyFill="1" applyBorder="1" applyAlignment="1">
      <alignment horizontal="left" vertical="center"/>
    </xf>
    <xf numFmtId="10" fontId="0" fillId="15" borderId="0" xfId="0" applyNumberFormat="1" applyFont="1" applyFill="1"/>
    <xf numFmtId="0" fontId="17" fillId="15" borderId="0" xfId="0" applyFont="1" applyFill="1"/>
    <xf numFmtId="164" fontId="17" fillId="15" borderId="0" xfId="0" applyNumberFormat="1" applyFont="1" applyFill="1" applyBorder="1"/>
    <xf numFmtId="10" fontId="17" fillId="15" borderId="0" xfId="0" applyNumberFormat="1" applyFont="1" applyFill="1" applyBorder="1"/>
    <xf numFmtId="0" fontId="22" fillId="15" borderId="0" xfId="0" applyFont="1" applyFill="1"/>
    <xf numFmtId="10" fontId="17" fillId="15" borderId="0" xfId="0" applyNumberFormat="1" applyFont="1" applyFill="1"/>
    <xf numFmtId="0" fontId="17" fillId="15" borderId="0" xfId="0" applyFont="1" applyFill="1" applyBorder="1"/>
    <xf numFmtId="0" fontId="0" fillId="15" borderId="0" xfId="0" applyFill="1" applyBorder="1"/>
    <xf numFmtId="0" fontId="17" fillId="15" borderId="27" xfId="0" applyFont="1" applyFill="1" applyBorder="1"/>
    <xf numFmtId="9" fontId="17" fillId="15" borderId="28" xfId="0" applyNumberFormat="1" applyFont="1" applyFill="1" applyBorder="1"/>
    <xf numFmtId="2" fontId="13" fillId="0" borderId="20" xfId="0" applyNumberFormat="1" applyFont="1" applyBorder="1" applyAlignment="1">
      <alignment horizontal="right" vertical="center"/>
    </xf>
    <xf numFmtId="0" fontId="9" fillId="0" borderId="19" xfId="0" applyFont="1" applyBorder="1" applyAlignment="1">
      <alignment horizontal="left" vertical="center"/>
    </xf>
    <xf numFmtId="2" fontId="0" fillId="0" borderId="0" xfId="0" applyNumberFormat="1" applyBorder="1"/>
    <xf numFmtId="2" fontId="0" fillId="0" borderId="20" xfId="0" applyNumberFormat="1" applyBorder="1"/>
    <xf numFmtId="0" fontId="0" fillId="15" borderId="20" xfId="0" applyFill="1" applyBorder="1"/>
    <xf numFmtId="0" fontId="26" fillId="15" borderId="0" xfId="0" applyFont="1" applyFill="1"/>
    <xf numFmtId="9" fontId="0" fillId="15" borderId="0" xfId="0" applyNumberFormat="1" applyFill="1"/>
    <xf numFmtId="0" fontId="25" fillId="0" borderId="0" xfId="0" applyFont="1"/>
    <xf numFmtId="4" fontId="25" fillId="0" borderId="0" xfId="0" applyNumberFormat="1" applyFont="1"/>
    <xf numFmtId="10" fontId="25" fillId="10" borderId="0" xfId="0" applyNumberFormat="1" applyFont="1" applyFill="1"/>
    <xf numFmtId="4" fontId="25" fillId="10" borderId="0" xfId="0" applyNumberFormat="1" applyFont="1" applyFill="1"/>
    <xf numFmtId="4" fontId="27" fillId="9" borderId="0" xfId="0" applyNumberFormat="1" applyFont="1" applyFill="1"/>
    <xf numFmtId="0" fontId="24" fillId="0" borderId="0" xfId="0" applyFont="1"/>
    <xf numFmtId="0" fontId="29" fillId="0" borderId="0" xfId="0" applyFont="1"/>
    <xf numFmtId="0" fontId="0" fillId="15" borderId="39" xfId="0" applyFill="1" applyBorder="1"/>
    <xf numFmtId="0" fontId="0" fillId="15" borderId="40" xfId="0" applyFill="1" applyBorder="1"/>
    <xf numFmtId="0" fontId="30" fillId="15" borderId="37" xfId="0" applyFont="1" applyFill="1" applyBorder="1" applyAlignment="1">
      <alignment horizontal="left" vertical="center"/>
    </xf>
    <xf numFmtId="1" fontId="0" fillId="15" borderId="38" xfId="0" applyNumberFormat="1" applyFill="1" applyBorder="1"/>
    <xf numFmtId="1" fontId="0" fillId="15" borderId="39" xfId="0" applyNumberFormat="1" applyFill="1" applyBorder="1"/>
    <xf numFmtId="1" fontId="0" fillId="15" borderId="40" xfId="0" applyNumberFormat="1" applyFill="1" applyBorder="1"/>
    <xf numFmtId="1" fontId="0" fillId="0" borderId="0" xfId="0" applyNumberFormat="1" applyFont="1" applyFill="1" applyBorder="1"/>
    <xf numFmtId="1" fontId="0" fillId="0" borderId="41" xfId="0" applyNumberFormat="1" applyFont="1" applyBorder="1"/>
    <xf numFmtId="1" fontId="0" fillId="0" borderId="42" xfId="0" applyNumberFormat="1" applyBorder="1"/>
    <xf numFmtId="1" fontId="0" fillId="0" borderId="44" xfId="0" applyNumberFormat="1" applyFont="1" applyBorder="1"/>
    <xf numFmtId="1" fontId="0" fillId="0" borderId="41" xfId="0" applyNumberFormat="1" applyBorder="1"/>
    <xf numFmtId="0" fontId="32" fillId="17" borderId="0" xfId="0" applyFont="1" applyFill="1" applyBorder="1"/>
    <xf numFmtId="0" fontId="32" fillId="17" borderId="41" xfId="0" applyFont="1" applyFill="1" applyBorder="1"/>
    <xf numFmtId="164" fontId="10" fillId="5" borderId="49" xfId="0" applyNumberFormat="1" applyFont="1" applyFill="1" applyBorder="1" applyAlignment="1">
      <alignment horizontal="right" vertical="center"/>
    </xf>
    <xf numFmtId="164" fontId="10" fillId="20" borderId="3" xfId="0" applyNumberFormat="1" applyFont="1" applyFill="1" applyBorder="1" applyAlignment="1">
      <alignment horizontal="right" vertical="center"/>
    </xf>
    <xf numFmtId="3" fontId="0" fillId="21" borderId="45" xfId="0" applyNumberFormat="1" applyFill="1" applyBorder="1"/>
    <xf numFmtId="3" fontId="0" fillId="21" borderId="46" xfId="0" applyNumberFormat="1" applyFill="1" applyBorder="1"/>
    <xf numFmtId="3" fontId="0" fillId="21" borderId="47" xfId="0" applyNumberFormat="1" applyFill="1" applyBorder="1"/>
    <xf numFmtId="1" fontId="0" fillId="21" borderId="46" xfId="0" applyNumberFormat="1" applyFill="1" applyBorder="1"/>
    <xf numFmtId="1" fontId="0" fillId="21" borderId="47" xfId="0" applyNumberFormat="1" applyFill="1" applyBorder="1"/>
    <xf numFmtId="1" fontId="0" fillId="21" borderId="45" xfId="0" applyNumberFormat="1" applyFill="1" applyBorder="1"/>
    <xf numFmtId="164" fontId="10" fillId="20" borderId="49" xfId="0" applyNumberFormat="1" applyFont="1" applyFill="1" applyBorder="1" applyAlignment="1">
      <alignment horizontal="right" vertical="center"/>
    </xf>
    <xf numFmtId="1" fontId="0" fillId="21" borderId="50" xfId="0" applyNumberFormat="1" applyFill="1" applyBorder="1"/>
    <xf numFmtId="1" fontId="0" fillId="21" borderId="51" xfId="0" applyNumberFormat="1" applyFill="1" applyBorder="1"/>
    <xf numFmtId="1" fontId="0" fillId="21" borderId="52" xfId="0" applyNumberFormat="1" applyFill="1" applyBorder="1"/>
    <xf numFmtId="3" fontId="0" fillId="21" borderId="4" xfId="0" applyNumberFormat="1" applyFill="1" applyBorder="1"/>
    <xf numFmtId="3" fontId="0" fillId="21" borderId="36" xfId="0" applyNumberFormat="1" applyFill="1" applyBorder="1"/>
    <xf numFmtId="10" fontId="0" fillId="15" borderId="0" xfId="0" applyNumberFormat="1" applyFill="1" applyBorder="1"/>
    <xf numFmtId="0" fontId="0" fillId="15" borderId="53" xfId="0" applyFill="1" applyBorder="1"/>
    <xf numFmtId="0" fontId="0" fillId="15" borderId="54" xfId="0" applyFill="1" applyBorder="1"/>
    <xf numFmtId="0" fontId="0" fillId="15" borderId="55" xfId="0" applyFill="1" applyBorder="1"/>
    <xf numFmtId="0" fontId="0" fillId="15" borderId="48" xfId="0" applyFill="1" applyBorder="1"/>
    <xf numFmtId="0" fontId="7" fillId="15" borderId="56" xfId="0" applyFont="1" applyFill="1" applyBorder="1" applyAlignment="1">
      <alignment horizontal="left" vertical="center"/>
    </xf>
    <xf numFmtId="0" fontId="0" fillId="15" borderId="57" xfId="0" applyFill="1" applyBorder="1"/>
    <xf numFmtId="0" fontId="0" fillId="15" borderId="58" xfId="0" applyFill="1" applyBorder="1"/>
    <xf numFmtId="0" fontId="0" fillId="15" borderId="41" xfId="0" applyFill="1" applyBorder="1"/>
    <xf numFmtId="0" fontId="0" fillId="15" borderId="59" xfId="0" applyFill="1" applyBorder="1"/>
    <xf numFmtId="1" fontId="0" fillId="21" borderId="7" xfId="0" applyNumberFormat="1" applyFill="1" applyBorder="1"/>
    <xf numFmtId="1" fontId="0" fillId="21" borderId="28" xfId="0" applyNumberFormat="1" applyFill="1" applyBorder="1"/>
    <xf numFmtId="1" fontId="0" fillId="21" borderId="5" xfId="0" applyNumberFormat="1" applyFill="1" applyBorder="1"/>
    <xf numFmtId="1" fontId="0" fillId="21" borderId="31" xfId="0" applyNumberFormat="1" applyFill="1" applyBorder="1"/>
    <xf numFmtId="1" fontId="0" fillId="21" borderId="4" xfId="0" applyNumberFormat="1" applyFill="1" applyBorder="1"/>
    <xf numFmtId="1" fontId="0" fillId="21" borderId="36" xfId="0" applyNumberFormat="1" applyFill="1" applyBorder="1"/>
    <xf numFmtId="0" fontId="0" fillId="15" borderId="0" xfId="0" applyFont="1" applyFill="1" applyBorder="1"/>
    <xf numFmtId="9" fontId="12" fillId="15" borderId="0" xfId="1" applyFill="1" applyBorder="1"/>
    <xf numFmtId="2" fontId="0" fillId="15" borderId="0" xfId="0" applyNumberFormat="1" applyFill="1" applyBorder="1"/>
    <xf numFmtId="164" fontId="0" fillId="15" borderId="53" xfId="0" applyNumberFormat="1" applyFill="1" applyBorder="1"/>
    <xf numFmtId="10" fontId="0" fillId="15" borderId="48" xfId="0" applyNumberFormat="1" applyFill="1" applyBorder="1"/>
    <xf numFmtId="0" fontId="0" fillId="0" borderId="60" xfId="0" applyBorder="1"/>
    <xf numFmtId="1" fontId="0" fillId="15" borderId="53" xfId="0" applyNumberFormat="1" applyFill="1" applyBorder="1"/>
    <xf numFmtId="1" fontId="0" fillId="15" borderId="59" xfId="0" applyNumberFormat="1" applyFill="1" applyBorder="1"/>
    <xf numFmtId="0" fontId="0" fillId="15" borderId="61" xfId="0" applyFill="1" applyBorder="1"/>
    <xf numFmtId="0" fontId="0" fillId="15" borderId="62" xfId="0" applyFill="1" applyBorder="1" applyAlignment="1">
      <alignment wrapText="1"/>
    </xf>
    <xf numFmtId="1" fontId="0" fillId="21" borderId="7" xfId="0" applyNumberFormat="1" applyFont="1" applyFill="1" applyBorder="1"/>
    <xf numFmtId="1" fontId="0" fillId="21" borderId="28" xfId="0" applyNumberFormat="1" applyFont="1" applyFill="1" applyBorder="1"/>
    <xf numFmtId="1" fontId="10" fillId="20" borderId="3" xfId="0" applyNumberFormat="1" applyFont="1" applyFill="1" applyBorder="1" applyAlignment="1">
      <alignment horizontal="right" vertical="center"/>
    </xf>
    <xf numFmtId="1" fontId="0" fillId="21" borderId="5" xfId="0" applyNumberFormat="1" applyFont="1" applyFill="1" applyBorder="1"/>
    <xf numFmtId="1" fontId="0" fillId="21" borderId="31" xfId="0" applyNumberFormat="1" applyFont="1" applyFill="1" applyBorder="1"/>
    <xf numFmtId="1" fontId="0" fillId="21" borderId="43" xfId="0" applyNumberFormat="1" applyFont="1" applyFill="1" applyBorder="1"/>
    <xf numFmtId="0" fontId="32" fillId="17" borderId="0" xfId="0" applyFont="1" applyFill="1"/>
    <xf numFmtId="0" fontId="32" fillId="17" borderId="20" xfId="0" applyFont="1" applyFill="1" applyBorder="1"/>
    <xf numFmtId="10" fontId="0" fillId="15" borderId="58" xfId="0" applyNumberFormat="1" applyFill="1" applyBorder="1"/>
    <xf numFmtId="0" fontId="29" fillId="15" borderId="48" xfId="0" applyFont="1" applyFill="1" applyBorder="1"/>
    <xf numFmtId="0" fontId="29" fillId="15" borderId="55" xfId="0" applyFont="1" applyFill="1" applyBorder="1"/>
    <xf numFmtId="2" fontId="20" fillId="11" borderId="7" xfId="0" applyNumberFormat="1" applyFont="1" applyFill="1" applyBorder="1" applyAlignment="1"/>
    <xf numFmtId="2" fontId="0" fillId="0" borderId="11" xfId="0" applyNumberFormat="1" applyBorder="1"/>
    <xf numFmtId="165" fontId="0" fillId="8" borderId="11" xfId="0" applyNumberFormat="1" applyFill="1" applyBorder="1"/>
    <xf numFmtId="2" fontId="19" fillId="0" borderId="7" xfId="0" applyNumberFormat="1" applyFont="1" applyFill="1" applyBorder="1" applyAlignment="1"/>
    <xf numFmtId="165" fontId="0" fillId="15" borderId="0" xfId="0" applyNumberFormat="1" applyFill="1"/>
    <xf numFmtId="1" fontId="13" fillId="0" borderId="2" xfId="0" applyNumberFormat="1" applyFont="1" applyFill="1" applyBorder="1" applyAlignment="1">
      <alignment horizontal="right" vertical="center"/>
    </xf>
    <xf numFmtId="0" fontId="31" fillId="0" borderId="0" xfId="0" applyFont="1" applyFill="1"/>
    <xf numFmtId="0" fontId="0" fillId="0" borderId="0" xfId="0" applyFont="1" applyFill="1" applyBorder="1"/>
    <xf numFmtId="2" fontId="0" fillId="0" borderId="0" xfId="0" applyNumberFormat="1" applyFont="1" applyBorder="1"/>
    <xf numFmtId="2" fontId="0" fillId="0" borderId="20" xfId="0" applyNumberFormat="1" applyFont="1" applyBorder="1"/>
    <xf numFmtId="167" fontId="0" fillId="0" borderId="0" xfId="0" applyNumberFormat="1" applyFont="1" applyBorder="1"/>
    <xf numFmtId="167" fontId="0" fillId="0" borderId="0" xfId="0" applyNumberFormat="1" applyBorder="1"/>
    <xf numFmtId="165" fontId="12" fillId="0" borderId="0" xfId="1" applyNumberFormat="1"/>
    <xf numFmtId="2" fontId="0" fillId="0" borderId="14" xfId="0" applyNumberFormat="1" applyFont="1" applyBorder="1"/>
    <xf numFmtId="2" fontId="0" fillId="0" borderId="23" xfId="0" applyNumberFormat="1" applyFont="1" applyBorder="1"/>
    <xf numFmtId="0" fontId="33" fillId="0" borderId="19" xfId="0" applyFont="1" applyFill="1" applyBorder="1" applyAlignment="1">
      <alignment horizontal="left" vertical="center"/>
    </xf>
    <xf numFmtId="10" fontId="12" fillId="0" borderId="41" xfId="1" applyNumberFormat="1" applyBorder="1"/>
    <xf numFmtId="0" fontId="0" fillId="0" borderId="41" xfId="0" applyFont="1" applyBorder="1"/>
    <xf numFmtId="2" fontId="0" fillId="0" borderId="41" xfId="0" applyNumberFormat="1" applyFont="1" applyBorder="1"/>
    <xf numFmtId="165" fontId="12" fillId="0" borderId="0" xfId="1" applyNumberFormat="1" applyBorder="1"/>
    <xf numFmtId="165" fontId="12" fillId="0" borderId="41" xfId="1" applyNumberFormat="1" applyBorder="1"/>
    <xf numFmtId="167" fontId="0" fillId="0" borderId="41" xfId="0" applyNumberFormat="1" applyFont="1" applyBorder="1"/>
    <xf numFmtId="10" fontId="12" fillId="0" borderId="0" xfId="1" applyNumberFormat="1" applyBorder="1"/>
    <xf numFmtId="0" fontId="29" fillId="19" borderId="25" xfId="0" applyFont="1" applyFill="1" applyBorder="1"/>
    <xf numFmtId="0" fontId="29" fillId="19" borderId="16" xfId="0" applyFont="1" applyFill="1" applyBorder="1"/>
    <xf numFmtId="0" fontId="29" fillId="19" borderId="18" xfId="0" applyFont="1" applyFill="1" applyBorder="1"/>
    <xf numFmtId="0" fontId="29" fillId="19" borderId="0" xfId="0" applyFont="1" applyFill="1" applyBorder="1"/>
    <xf numFmtId="1" fontId="13" fillId="0" borderId="63" xfId="0" applyNumberFormat="1" applyFont="1" applyFill="1" applyBorder="1" applyAlignment="1">
      <alignment horizontal="right" vertical="center"/>
    </xf>
    <xf numFmtId="1" fontId="13" fillId="0" borderId="0" xfId="0" applyNumberFormat="1" applyFont="1" applyFill="1" applyBorder="1" applyAlignment="1">
      <alignment horizontal="right" vertical="center"/>
    </xf>
    <xf numFmtId="0" fontId="25" fillId="0" borderId="0" xfId="0" applyFont="1" applyFill="1" applyBorder="1" applyAlignment="1"/>
    <xf numFmtId="0" fontId="18" fillId="0" borderId="0" xfId="0" applyFont="1" applyFill="1" applyBorder="1" applyAlignment="1"/>
    <xf numFmtId="0" fontId="0" fillId="0" borderId="0" xfId="0" applyFill="1" applyBorder="1"/>
    <xf numFmtId="2" fontId="0" fillId="0" borderId="41" xfId="0" applyNumberFormat="1" applyBorder="1"/>
    <xf numFmtId="165" fontId="0" fillId="0" borderId="0" xfId="1" applyNumberFormat="1" applyFont="1" applyBorder="1"/>
    <xf numFmtId="10" fontId="0" fillId="0" borderId="41" xfId="1" applyNumberFormat="1" applyFont="1" applyBorder="1"/>
    <xf numFmtId="0" fontId="36" fillId="19" borderId="0" xfId="0" applyFont="1" applyFill="1" applyBorder="1"/>
    <xf numFmtId="1" fontId="13" fillId="0" borderId="41" xfId="0" applyNumberFormat="1" applyFont="1" applyFill="1" applyBorder="1" applyAlignment="1">
      <alignment horizontal="right" vertical="center"/>
    </xf>
    <xf numFmtId="0" fontId="0" fillId="0" borderId="41" xfId="0" applyBorder="1"/>
    <xf numFmtId="165" fontId="0" fillId="0" borderId="53" xfId="1" applyNumberFormat="1" applyFont="1" applyBorder="1"/>
    <xf numFmtId="165" fontId="0" fillId="0" borderId="59" xfId="1" applyNumberFormat="1" applyFont="1" applyBorder="1"/>
    <xf numFmtId="0" fontId="36" fillId="19" borderId="41" xfId="0" applyFont="1" applyFill="1" applyBorder="1"/>
    <xf numFmtId="166" fontId="0" fillId="0" borderId="0" xfId="0" applyNumberFormat="1" applyFont="1" applyBorder="1"/>
    <xf numFmtId="2" fontId="12" fillId="0" borderId="0" xfId="1" applyNumberFormat="1" applyBorder="1"/>
    <xf numFmtId="167" fontId="0" fillId="0" borderId="41" xfId="0" applyNumberFormat="1" applyBorder="1"/>
    <xf numFmtId="2" fontId="12" fillId="0" borderId="41" xfId="1" applyNumberFormat="1" applyBorder="1"/>
    <xf numFmtId="167" fontId="19" fillId="0" borderId="0" xfId="0" applyNumberFormat="1" applyFont="1" applyFill="1" applyBorder="1" applyAlignment="1"/>
    <xf numFmtId="0" fontId="0" fillId="15" borderId="0" xfId="0" applyFill="1" applyAlignment="1">
      <alignment horizontal="center"/>
    </xf>
    <xf numFmtId="0" fontId="18" fillId="9" borderId="0" xfId="0" applyFont="1" applyFill="1" applyBorder="1" applyAlignment="1"/>
    <xf numFmtId="0" fontId="27" fillId="9" borderId="0" xfId="0" applyFont="1" applyFill="1" applyAlignment="1">
      <alignment horizontal="center"/>
    </xf>
    <xf numFmtId="0" fontId="28" fillId="0" borderId="0" xfId="0" applyFont="1"/>
    <xf numFmtId="0" fontId="27" fillId="9" borderId="0" xfId="0" applyFont="1" applyFill="1" applyAlignment="1">
      <alignment horizontal="center" vertical="center" textRotation="90"/>
    </xf>
    <xf numFmtId="0" fontId="0" fillId="2" borderId="0" xfId="0" applyFont="1" applyFill="1" applyBorder="1" applyAlignment="1">
      <alignment horizontal="center"/>
    </xf>
    <xf numFmtId="0" fontId="0" fillId="6" borderId="0" xfId="0" applyFill="1" applyAlignment="1">
      <alignment horizontal="center"/>
    </xf>
    <xf numFmtId="0" fontId="0" fillId="7" borderId="0" xfId="0" applyFill="1" applyAlignment="1">
      <alignment horizontal="center"/>
    </xf>
    <xf numFmtId="0" fontId="0" fillId="15" borderId="29" xfId="0" applyFont="1" applyFill="1" applyBorder="1" applyAlignment="1">
      <alignment horizontal="center"/>
    </xf>
    <xf numFmtId="0" fontId="0" fillId="15" borderId="0" xfId="0" applyFont="1" applyFill="1" applyBorder="1" applyAlignment="1">
      <alignment horizontal="center"/>
    </xf>
    <xf numFmtId="0" fontId="0" fillId="15" borderId="41" xfId="0" applyFont="1" applyFill="1" applyBorder="1" applyAlignment="1">
      <alignment horizontal="center"/>
    </xf>
    <xf numFmtId="0" fontId="0" fillId="0" borderId="29" xfId="0" applyFont="1" applyBorder="1" applyAlignment="1">
      <alignment horizontal="center"/>
    </xf>
    <xf numFmtId="0" fontId="0" fillId="0" borderId="0" xfId="0" applyFont="1" applyBorder="1" applyAlignment="1">
      <alignment horizontal="center"/>
    </xf>
    <xf numFmtId="0" fontId="0" fillId="0" borderId="20" xfId="0" applyFont="1" applyBorder="1" applyAlignment="1">
      <alignment horizontal="center"/>
    </xf>
    <xf numFmtId="0" fontId="0" fillId="15" borderId="20" xfId="0" applyFont="1" applyFill="1" applyBorder="1" applyAlignment="1">
      <alignment horizontal="center"/>
    </xf>
    <xf numFmtId="0" fontId="3" fillId="0" borderId="0" xfId="0" applyFont="1" applyBorder="1" applyAlignment="1">
      <alignment horizontal="left" vertical="center"/>
    </xf>
    <xf numFmtId="0" fontId="3" fillId="2" borderId="25" xfId="0" applyFont="1" applyFill="1" applyBorder="1" applyAlignment="1">
      <alignment horizontal="center" vertical="center"/>
    </xf>
    <xf numFmtId="0" fontId="3" fillId="2" borderId="16" xfId="0" applyFont="1" applyFill="1" applyBorder="1" applyAlignment="1">
      <alignment horizontal="center" vertical="center"/>
    </xf>
    <xf numFmtId="0" fontId="0" fillId="2" borderId="16" xfId="0" applyFont="1" applyFill="1" applyBorder="1" applyAlignment="1">
      <alignment horizontal="center"/>
    </xf>
    <xf numFmtId="0" fontId="0" fillId="2" borderId="18" xfId="0" applyFont="1" applyFill="1" applyBorder="1" applyAlignment="1">
      <alignment horizontal="center"/>
    </xf>
    <xf numFmtId="0" fontId="11" fillId="0" borderId="0" xfId="0" applyFont="1" applyBorder="1" applyAlignment="1">
      <alignment horizontal="left" vertical="top" wrapText="1"/>
    </xf>
    <xf numFmtId="0" fontId="2" fillId="18" borderId="0" xfId="0" applyFont="1" applyFill="1" applyBorder="1" applyAlignment="1">
      <alignment horizontal="center" vertical="center"/>
    </xf>
    <xf numFmtId="0" fontId="11" fillId="0" borderId="0" xfId="0" applyFont="1" applyBorder="1" applyAlignment="1">
      <alignment horizontal="center" vertical="top" wrapText="1"/>
    </xf>
    <xf numFmtId="0" fontId="3" fillId="6" borderId="25" xfId="0" applyFont="1" applyFill="1" applyBorder="1" applyAlignment="1">
      <alignment horizontal="center" vertical="center"/>
    </xf>
    <xf numFmtId="0" fontId="3" fillId="6" borderId="16" xfId="0" applyFont="1" applyFill="1" applyBorder="1" applyAlignment="1">
      <alignment horizontal="center" vertical="center"/>
    </xf>
    <xf numFmtId="0" fontId="0" fillId="6" borderId="16" xfId="0" applyFill="1" applyBorder="1" applyAlignment="1">
      <alignment horizontal="center"/>
    </xf>
    <xf numFmtId="0" fontId="0" fillId="6" borderId="18" xfId="0" applyFill="1" applyBorder="1" applyAlignment="1">
      <alignment horizontal="center"/>
    </xf>
    <xf numFmtId="0" fontId="11" fillId="0" borderId="0" xfId="0" applyFont="1" applyBorder="1" applyAlignment="1">
      <alignment vertical="top" wrapText="1"/>
    </xf>
    <xf numFmtId="0" fontId="0" fillId="0" borderId="55" xfId="0" applyFont="1" applyFill="1" applyBorder="1"/>
    <xf numFmtId="2" fontId="0" fillId="0" borderId="58" xfId="0" applyNumberFormat="1" applyBorder="1"/>
    <xf numFmtId="0" fontId="0" fillId="0" borderId="57" xfId="0" applyFont="1" applyFill="1" applyBorder="1"/>
    <xf numFmtId="0" fontId="0" fillId="0" borderId="59" xfId="0" applyBorder="1"/>
    <xf numFmtId="0" fontId="34" fillId="22" borderId="64" xfId="0" applyFont="1" applyFill="1" applyBorder="1" applyAlignment="1">
      <alignment horizontal="center" vertical="center" wrapText="1"/>
    </xf>
    <xf numFmtId="0" fontId="34" fillId="22" borderId="65" xfId="0" applyFont="1" applyFill="1" applyBorder="1" applyAlignment="1">
      <alignment horizontal="center" vertical="center" wrapText="1"/>
    </xf>
    <xf numFmtId="0" fontId="34" fillId="22" borderId="66" xfId="0" applyFont="1" applyFill="1" applyBorder="1" applyAlignment="1">
      <alignment horizontal="center" vertical="center" wrapText="1"/>
    </xf>
    <xf numFmtId="0" fontId="0" fillId="0" borderId="48" xfId="0" applyFont="1" applyBorder="1"/>
    <xf numFmtId="0" fontId="1" fillId="0" borderId="0" xfId="2" applyFont="1" applyAlignment="1"/>
    <xf numFmtId="0" fontId="41" fillId="0" borderId="0" xfId="2" applyFont="1" applyFill="1" applyBorder="1" applyAlignment="1">
      <alignment horizontal="center"/>
    </xf>
    <xf numFmtId="0" fontId="42" fillId="0" borderId="0" xfId="2" applyFont="1" applyFill="1" applyBorder="1"/>
    <xf numFmtId="10" fontId="39" fillId="0" borderId="0" xfId="2" applyNumberFormat="1" applyFont="1" applyFill="1" applyBorder="1"/>
    <xf numFmtId="0" fontId="41" fillId="0" borderId="0" xfId="2" applyFont="1" applyFill="1" applyBorder="1" applyAlignment="1">
      <alignment horizontal="center" vertical="center" textRotation="90"/>
    </xf>
    <xf numFmtId="4" fontId="39" fillId="0" borderId="0" xfId="2" applyNumberFormat="1" applyFont="1" applyFill="1" applyBorder="1"/>
    <xf numFmtId="4" fontId="41" fillId="0" borderId="0" xfId="2" applyNumberFormat="1" applyFont="1" applyFill="1" applyBorder="1"/>
    <xf numFmtId="0" fontId="35" fillId="23" borderId="67" xfId="0" applyFont="1" applyFill="1" applyBorder="1" applyAlignment="1">
      <alignment vertical="center" wrapText="1"/>
    </xf>
    <xf numFmtId="10" fontId="0" fillId="0" borderId="41" xfId="0" applyNumberFormat="1" applyBorder="1"/>
    <xf numFmtId="0" fontId="0" fillId="0" borderId="48" xfId="0" applyFont="1" applyFill="1" applyBorder="1"/>
    <xf numFmtId="0" fontId="0" fillId="0" borderId="41" xfId="0" applyFill="1" applyBorder="1"/>
    <xf numFmtId="0" fontId="0" fillId="0" borderId="53" xfId="0" applyBorder="1"/>
    <xf numFmtId="0" fontId="0" fillId="0" borderId="59" xfId="0" applyFill="1" applyBorder="1"/>
    <xf numFmtId="0" fontId="0" fillId="0" borderId="37" xfId="0" applyFont="1" applyFill="1" applyBorder="1"/>
    <xf numFmtId="0" fontId="41" fillId="0" borderId="0" xfId="2" applyFont="1" applyFill="1" applyBorder="1"/>
    <xf numFmtId="0" fontId="1" fillId="0" borderId="0" xfId="2" applyFont="1" applyFill="1" applyBorder="1" applyAlignment="1"/>
    <xf numFmtId="164" fontId="0" fillId="0" borderId="0" xfId="0" applyNumberFormat="1" applyFill="1" applyBorder="1"/>
    <xf numFmtId="1" fontId="0" fillId="0" borderId="0" xfId="0" applyNumberFormat="1" applyFill="1" applyBorder="1"/>
    <xf numFmtId="0" fontId="39" fillId="0" borderId="0" xfId="2" applyFont="1" applyFill="1" applyBorder="1"/>
    <xf numFmtId="172" fontId="39" fillId="0" borderId="0" xfId="2" applyNumberFormat="1" applyFont="1" applyFill="1" applyBorder="1"/>
    <xf numFmtId="2" fontId="39" fillId="0" borderId="0" xfId="2" applyNumberFormat="1" applyFont="1" applyFill="1" applyBorder="1"/>
    <xf numFmtId="0" fontId="1" fillId="0" borderId="0" xfId="2" applyFont="1" applyFill="1" applyBorder="1"/>
    <xf numFmtId="3" fontId="39" fillId="0" borderId="0" xfId="2" applyNumberFormat="1" applyFont="1" applyFill="1" applyBorder="1"/>
    <xf numFmtId="0" fontId="40" fillId="0" borderId="0" xfId="2" applyFont="1" applyFill="1" applyBorder="1"/>
    <xf numFmtId="9" fontId="43" fillId="0" borderId="0" xfId="2" applyNumberFormat="1" applyFont="1" applyFill="1" applyBorder="1"/>
    <xf numFmtId="165" fontId="39" fillId="0" borderId="0" xfId="2" applyNumberFormat="1" applyFont="1" applyFill="1" applyBorder="1"/>
    <xf numFmtId="0" fontId="39" fillId="0" borderId="0" xfId="2" applyFont="1" applyFill="1" applyBorder="1" applyAlignment="1">
      <alignment horizontal="left"/>
    </xf>
    <xf numFmtId="2" fontId="43" fillId="0" borderId="0" xfId="2" applyNumberFormat="1" applyFont="1" applyFill="1" applyBorder="1"/>
    <xf numFmtId="4" fontId="40" fillId="0" borderId="0" xfId="2" applyNumberFormat="1" applyFont="1" applyFill="1" applyBorder="1"/>
    <xf numFmtId="0" fontId="0" fillId="0" borderId="0" xfId="0" applyFill="1" applyAlignment="1">
      <alignment horizontal="center"/>
    </xf>
    <xf numFmtId="0" fontId="29" fillId="0" borderId="0" xfId="0" applyFont="1" applyFill="1"/>
    <xf numFmtId="167" fontId="0" fillId="0" borderId="20" xfId="0" applyNumberFormat="1" applyFont="1" applyBorder="1"/>
  </cellXfs>
  <cellStyles count="3">
    <cellStyle name="Normal" xfId="0" builtinId="0"/>
    <cellStyle name="Normal 2" xfId="2" xr:uid="{176C8FB5-B90F-45BF-8BA5-EC85985B3BB3}"/>
    <cellStyle name="Per 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BF3FB"/>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E2EFDA"/>
      <rgbColor rgb="FFC6EFCE"/>
      <rgbColor rgb="FFFFEB9C"/>
      <rgbColor rgb="FFCCCCCC"/>
      <rgbColor rgb="FFFDE9D9"/>
      <rgbColor rgb="FFF2F2F2"/>
      <rgbColor rgb="FFF6C6AD"/>
      <rgbColor rgb="FF3366FF"/>
      <rgbColor rgb="FF33CCCC"/>
      <rgbColor rgb="FF99CC00"/>
      <rgbColor rgb="FFFFCC00"/>
      <rgbColor rgb="FFFF9900"/>
      <rgbColor rgb="FFE05A00"/>
      <rgbColor rgb="FF595959"/>
      <rgbColor rgb="FF969696"/>
      <rgbColor rgb="FF1F3864"/>
      <rgbColor rgb="FF339966"/>
      <rgbColor rgb="FF003300"/>
      <rgbColor rgb="FF375623"/>
      <rgbColor rgb="FF9C5700"/>
      <rgbColor rgb="FF993366"/>
      <rgbColor rgb="FF2E4057"/>
      <rgbColor rgb="FF2F2F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revenue(R'million)</a:t>
            </a:r>
          </a:p>
        </c:rich>
      </c:tx>
      <c:layout>
        <c:manualLayout>
          <c:xMode val="edge"/>
          <c:yMode val="edge"/>
          <c:x val="0.38338896518283416"/>
          <c:y val="3.472224341498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Statemnt'!$A$6</c:f>
              <c:strCache>
                <c:ptCount val="1"/>
                <c:pt idx="0">
                  <c:v>  Total revenue</c:v>
                </c:pt>
              </c:strCache>
            </c:strRef>
          </c:tx>
          <c:spPr>
            <a:solidFill>
              <a:schemeClr val="accent1"/>
            </a:solidFill>
            <a:ln>
              <a:noFill/>
            </a:ln>
            <a:effectLst/>
          </c:spPr>
          <c:invertIfNegative val="0"/>
          <c:cat>
            <c:strRef>
              <c:f>'Income Statemnt'!$B$4:$G$4</c:f>
              <c:strCache>
                <c:ptCount val="5"/>
                <c:pt idx="0">
                  <c:v>2021</c:v>
                </c:pt>
                <c:pt idx="1">
                  <c:v>2022</c:v>
                </c:pt>
                <c:pt idx="2">
                  <c:v>2023</c:v>
                </c:pt>
                <c:pt idx="3">
                  <c:v>2024</c:v>
                </c:pt>
                <c:pt idx="4">
                  <c:v>2025</c:v>
                </c:pt>
              </c:strCache>
            </c:strRef>
          </c:cat>
          <c:val>
            <c:numRef>
              <c:f>'Income Statemnt'!$B$6:$G$6</c:f>
              <c:numCache>
                <c:formatCode>0</c:formatCode>
                <c:ptCount val="5"/>
                <c:pt idx="0">
                  <c:v>30953.9</c:v>
                </c:pt>
                <c:pt idx="1">
                  <c:v>34028.9</c:v>
                </c:pt>
                <c:pt idx="2">
                  <c:v>37388.5</c:v>
                </c:pt>
                <c:pt idx="3">
                  <c:v>33494</c:v>
                </c:pt>
                <c:pt idx="4">
                  <c:v>34392</c:v>
                </c:pt>
              </c:numCache>
            </c:numRef>
          </c:val>
          <c:extLst>
            <c:ext xmlns:c16="http://schemas.microsoft.com/office/drawing/2014/chart" uri="{C3380CC4-5D6E-409C-BE32-E72D297353CC}">
              <c16:uniqueId val="{00000000-4CE0-447A-936F-6E0F025A41E2}"/>
            </c:ext>
          </c:extLst>
        </c:ser>
        <c:dLbls>
          <c:showLegendKey val="0"/>
          <c:showVal val="0"/>
          <c:showCatName val="0"/>
          <c:showSerName val="0"/>
          <c:showPercent val="0"/>
          <c:showBubbleSize val="0"/>
        </c:dLbls>
        <c:gapWidth val="219"/>
        <c:overlap val="-27"/>
        <c:axId val="1909196295"/>
        <c:axId val="1909198343"/>
      </c:barChart>
      <c:catAx>
        <c:axId val="1909196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8343"/>
        <c:crosses val="autoZero"/>
        <c:auto val="1"/>
        <c:lblAlgn val="ctr"/>
        <c:lblOffset val="100"/>
        <c:noMultiLvlLbl val="0"/>
      </c:catAx>
      <c:valAx>
        <c:axId val="1909198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6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revenue(R'million)</a:t>
            </a:r>
          </a:p>
        </c:rich>
      </c:tx>
      <c:layout>
        <c:manualLayout>
          <c:xMode val="edge"/>
          <c:yMode val="edge"/>
          <c:x val="0.38338896518283416"/>
          <c:y val="3.472224341498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Statemnt'!$A$6</c:f>
              <c:strCache>
                <c:ptCount val="1"/>
                <c:pt idx="0">
                  <c:v>  Total revenue</c:v>
                </c:pt>
              </c:strCache>
            </c:strRef>
          </c:tx>
          <c:spPr>
            <a:solidFill>
              <a:schemeClr val="accent1"/>
            </a:solidFill>
            <a:ln>
              <a:noFill/>
            </a:ln>
            <a:effectLst/>
          </c:spPr>
          <c:invertIfNegative val="0"/>
          <c:cat>
            <c:strRef>
              <c:f>'Income Statemnt'!$B$4:$G$4</c:f>
              <c:strCache>
                <c:ptCount val="5"/>
                <c:pt idx="0">
                  <c:v>2021</c:v>
                </c:pt>
                <c:pt idx="1">
                  <c:v>2022</c:v>
                </c:pt>
                <c:pt idx="2">
                  <c:v>2023</c:v>
                </c:pt>
                <c:pt idx="3">
                  <c:v>2024</c:v>
                </c:pt>
                <c:pt idx="4">
                  <c:v>2025</c:v>
                </c:pt>
              </c:strCache>
            </c:strRef>
          </c:cat>
          <c:val>
            <c:numRef>
              <c:f>'Income Statemnt'!$B$6:$G$6</c:f>
              <c:numCache>
                <c:formatCode>0</c:formatCode>
                <c:ptCount val="5"/>
                <c:pt idx="0">
                  <c:v>30953.9</c:v>
                </c:pt>
                <c:pt idx="1">
                  <c:v>34028.9</c:v>
                </c:pt>
                <c:pt idx="2">
                  <c:v>37388.5</c:v>
                </c:pt>
                <c:pt idx="3">
                  <c:v>33494</c:v>
                </c:pt>
                <c:pt idx="4">
                  <c:v>34392</c:v>
                </c:pt>
              </c:numCache>
            </c:numRef>
          </c:val>
          <c:extLst>
            <c:ext xmlns:c16="http://schemas.microsoft.com/office/drawing/2014/chart" uri="{C3380CC4-5D6E-409C-BE32-E72D297353CC}">
              <c16:uniqueId val="{00000000-37BB-4A1E-B6C8-CF32BADDFD5C}"/>
            </c:ext>
          </c:extLst>
        </c:ser>
        <c:dLbls>
          <c:showLegendKey val="0"/>
          <c:showVal val="0"/>
          <c:showCatName val="0"/>
          <c:showSerName val="0"/>
          <c:showPercent val="0"/>
          <c:showBubbleSize val="0"/>
        </c:dLbls>
        <c:gapWidth val="219"/>
        <c:overlap val="-27"/>
        <c:axId val="1909196295"/>
        <c:axId val="1909198343"/>
      </c:barChart>
      <c:catAx>
        <c:axId val="1909196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8343"/>
        <c:crosses val="autoZero"/>
        <c:auto val="1"/>
        <c:lblAlgn val="ctr"/>
        <c:lblOffset val="100"/>
        <c:noMultiLvlLbl val="0"/>
      </c:catAx>
      <c:valAx>
        <c:axId val="1909198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6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Analysis'!$A$6</c:f>
              <c:strCache>
                <c:ptCount val="1"/>
                <c:pt idx="0">
                  <c:v>Gross Profit Margin</c:v>
                </c:pt>
              </c:strCache>
            </c:strRef>
          </c:tx>
          <c:spPr>
            <a:ln w="28575" cap="rnd">
              <a:solidFill>
                <a:schemeClr val="accent1"/>
              </a:solidFill>
              <a:round/>
            </a:ln>
            <a:effectLst/>
          </c:spPr>
          <c:marker>
            <c:symbol val="none"/>
          </c:marker>
          <c:cat>
            <c:numRef>
              <c:f>'Financial Analysis'!$B$1:$F$1</c:f>
              <c:numCache>
                <c:formatCode>General</c:formatCode>
                <c:ptCount val="5"/>
                <c:pt idx="0">
                  <c:v>2021</c:v>
                </c:pt>
                <c:pt idx="1">
                  <c:v>2022</c:v>
                </c:pt>
                <c:pt idx="2">
                  <c:v>2023</c:v>
                </c:pt>
                <c:pt idx="3">
                  <c:v>2024</c:v>
                </c:pt>
                <c:pt idx="4">
                  <c:v>2025</c:v>
                </c:pt>
              </c:numCache>
            </c:numRef>
          </c:cat>
          <c:val>
            <c:numRef>
              <c:f>'Financial Analysis'!$B$6:$F$6</c:f>
              <c:numCache>
                <c:formatCode>0.0%</c:formatCode>
                <c:ptCount val="5"/>
                <c:pt idx="0">
                  <c:v>0.28462326233527924</c:v>
                </c:pt>
                <c:pt idx="1">
                  <c:v>0.30314820637752038</c:v>
                </c:pt>
                <c:pt idx="2">
                  <c:v>0.27656364925043797</c:v>
                </c:pt>
                <c:pt idx="3">
                  <c:v>0.29121633725443363</c:v>
                </c:pt>
                <c:pt idx="4">
                  <c:v>0.31321237497092347</c:v>
                </c:pt>
              </c:numCache>
            </c:numRef>
          </c:val>
          <c:smooth val="0"/>
          <c:extLst>
            <c:ext xmlns:c16="http://schemas.microsoft.com/office/drawing/2014/chart" uri="{C3380CC4-5D6E-409C-BE32-E72D297353CC}">
              <c16:uniqueId val="{00000000-7743-470F-9B35-2EA8E20EBD48}"/>
            </c:ext>
          </c:extLst>
        </c:ser>
        <c:dLbls>
          <c:showLegendKey val="0"/>
          <c:showVal val="0"/>
          <c:showCatName val="0"/>
          <c:showSerName val="0"/>
          <c:showPercent val="0"/>
          <c:showBubbleSize val="0"/>
        </c:dLbls>
        <c:smooth val="0"/>
        <c:axId val="155887111"/>
        <c:axId val="155894791"/>
      </c:lineChart>
      <c:catAx>
        <c:axId val="155887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4791"/>
        <c:crosses val="autoZero"/>
        <c:auto val="1"/>
        <c:lblAlgn val="ctr"/>
        <c:lblOffset val="100"/>
        <c:noMultiLvlLbl val="0"/>
      </c:catAx>
      <c:valAx>
        <c:axId val="1558947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7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ZA"/>
              <a:t>Debt-to-Equity Ratio</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Analysis'!$A$32</c:f>
              <c:strCache>
                <c:ptCount val="1"/>
                <c:pt idx="0">
                  <c:v>Debt-to-Equity Ratio</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Analysis'!$B$32:$F$32</c:f>
              <c:numCache>
                <c:formatCode>0.0%</c:formatCode>
                <c:ptCount val="5"/>
                <c:pt idx="0">
                  <c:v>3.5994365768235115E-2</c:v>
                </c:pt>
                <c:pt idx="1">
                  <c:v>9.4830870028950173E-2</c:v>
                </c:pt>
                <c:pt idx="2">
                  <c:v>0.11941055751909702</c:v>
                </c:pt>
                <c:pt idx="3">
                  <c:v>6.7406523036848104E-2</c:v>
                </c:pt>
                <c:pt idx="4">
                  <c:v>2.0708857822379488E-2</c:v>
                </c:pt>
              </c:numCache>
            </c:numRef>
          </c:val>
          <c:smooth val="0"/>
          <c:extLst>
            <c:ext xmlns:c16="http://schemas.microsoft.com/office/drawing/2014/chart" uri="{C3380CC4-5D6E-409C-BE32-E72D297353CC}">
              <c16:uniqueId val="{00000000-136C-4257-A5E8-E0D08C024987}"/>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711593992"/>
        <c:axId val="1711600136"/>
      </c:lineChart>
      <c:catAx>
        <c:axId val="17115939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ZA"/>
                  <a:t>years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11600136"/>
        <c:crosses val="autoZero"/>
        <c:auto val="1"/>
        <c:lblAlgn val="ctr"/>
        <c:lblOffset val="100"/>
        <c:noMultiLvlLbl val="0"/>
      </c:catAx>
      <c:valAx>
        <c:axId val="17116001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11593992"/>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 vs Debt Equity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Analysis'!$A$10</c:f>
              <c:strCache>
                <c:ptCount val="1"/>
                <c:pt idx="0">
                  <c:v>Return on Equity</c:v>
                </c:pt>
              </c:strCache>
            </c:strRef>
          </c:tx>
          <c:spPr>
            <a:ln w="28575" cap="rnd">
              <a:solidFill>
                <a:schemeClr val="accent1"/>
              </a:solidFill>
              <a:round/>
            </a:ln>
            <a:effectLst/>
          </c:spPr>
          <c:marker>
            <c:symbol val="none"/>
          </c:marker>
          <c:cat>
            <c:numRef>
              <c:f>'Financial Analysis'!$B$1:$F$1</c:f>
              <c:numCache>
                <c:formatCode>General</c:formatCode>
                <c:ptCount val="5"/>
                <c:pt idx="0">
                  <c:v>2021</c:v>
                </c:pt>
                <c:pt idx="1">
                  <c:v>2022</c:v>
                </c:pt>
                <c:pt idx="2">
                  <c:v>2023</c:v>
                </c:pt>
                <c:pt idx="3">
                  <c:v>2024</c:v>
                </c:pt>
                <c:pt idx="4">
                  <c:v>2025</c:v>
                </c:pt>
              </c:numCache>
            </c:numRef>
          </c:cat>
          <c:val>
            <c:numRef>
              <c:f>'Financial Analysis'!$B$10:$F$10</c:f>
              <c:numCache>
                <c:formatCode>0.00%</c:formatCode>
                <c:ptCount val="5"/>
                <c:pt idx="1">
                  <c:v>0.1835226744986756</c:v>
                </c:pt>
                <c:pt idx="2">
                  <c:v>0.1637127318636496</c:v>
                </c:pt>
                <c:pt idx="3">
                  <c:v>0.16781477928952973</c:v>
                </c:pt>
                <c:pt idx="4">
                  <c:v>0.21691443898890708</c:v>
                </c:pt>
              </c:numCache>
            </c:numRef>
          </c:val>
          <c:smooth val="0"/>
          <c:extLst>
            <c:ext xmlns:c16="http://schemas.microsoft.com/office/drawing/2014/chart" uri="{C3380CC4-5D6E-409C-BE32-E72D297353CC}">
              <c16:uniqueId val="{00000003-AC6E-4416-9F2F-968A40961B40}"/>
            </c:ext>
          </c:extLst>
        </c:ser>
        <c:ser>
          <c:idx val="1"/>
          <c:order val="1"/>
          <c:tx>
            <c:strRef>
              <c:f>'Financial Analysis'!$A$32</c:f>
              <c:strCache>
                <c:ptCount val="1"/>
                <c:pt idx="0">
                  <c:v>Debt-to-Equity Ratio</c:v>
                </c:pt>
              </c:strCache>
            </c:strRef>
          </c:tx>
          <c:spPr>
            <a:ln w="28575" cap="rnd">
              <a:solidFill>
                <a:schemeClr val="accent2"/>
              </a:solidFill>
              <a:round/>
            </a:ln>
            <a:effectLst/>
          </c:spPr>
          <c:marker>
            <c:symbol val="none"/>
          </c:marker>
          <c:cat>
            <c:numRef>
              <c:f>'Financial Analysis'!$B$1:$F$1</c:f>
              <c:numCache>
                <c:formatCode>General</c:formatCode>
                <c:ptCount val="5"/>
                <c:pt idx="0">
                  <c:v>2021</c:v>
                </c:pt>
                <c:pt idx="1">
                  <c:v>2022</c:v>
                </c:pt>
                <c:pt idx="2">
                  <c:v>2023</c:v>
                </c:pt>
                <c:pt idx="3">
                  <c:v>2024</c:v>
                </c:pt>
                <c:pt idx="4">
                  <c:v>2025</c:v>
                </c:pt>
              </c:numCache>
            </c:numRef>
          </c:cat>
          <c:val>
            <c:numRef>
              <c:f>'Financial Analysis'!$B$32:$F$32</c:f>
              <c:numCache>
                <c:formatCode>0.0%</c:formatCode>
                <c:ptCount val="5"/>
                <c:pt idx="0">
                  <c:v>3.5994365768235115E-2</c:v>
                </c:pt>
                <c:pt idx="1">
                  <c:v>9.4830870028950173E-2</c:v>
                </c:pt>
                <c:pt idx="2">
                  <c:v>0.11941055751909702</c:v>
                </c:pt>
                <c:pt idx="3">
                  <c:v>6.7406523036848104E-2</c:v>
                </c:pt>
                <c:pt idx="4">
                  <c:v>2.0708857822379488E-2</c:v>
                </c:pt>
              </c:numCache>
            </c:numRef>
          </c:val>
          <c:smooth val="0"/>
          <c:extLst>
            <c:ext xmlns:c16="http://schemas.microsoft.com/office/drawing/2014/chart" uri="{C3380CC4-5D6E-409C-BE32-E72D297353CC}">
              <c16:uniqueId val="{00000005-AC6E-4416-9F2F-968A40961B40}"/>
            </c:ext>
          </c:extLst>
        </c:ser>
        <c:dLbls>
          <c:showLegendKey val="0"/>
          <c:showVal val="0"/>
          <c:showCatName val="0"/>
          <c:showSerName val="0"/>
          <c:showPercent val="0"/>
          <c:showBubbleSize val="0"/>
        </c:dLbls>
        <c:smooth val="0"/>
        <c:axId val="1995811336"/>
        <c:axId val="1995814408"/>
      </c:lineChart>
      <c:catAx>
        <c:axId val="1995811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14408"/>
        <c:crosses val="autoZero"/>
        <c:auto val="1"/>
        <c:lblAlgn val="ctr"/>
        <c:lblOffset val="100"/>
        <c:noMultiLvlLbl val="0"/>
      </c:catAx>
      <c:valAx>
        <c:axId val="1995814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11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revenue(R'million)</a:t>
            </a:r>
          </a:p>
        </c:rich>
      </c:tx>
      <c:layout>
        <c:manualLayout>
          <c:xMode val="edge"/>
          <c:yMode val="edge"/>
          <c:x val="0.38338896518283416"/>
          <c:y val="3.472224341498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Statemnt'!$A$6</c:f>
              <c:strCache>
                <c:ptCount val="1"/>
                <c:pt idx="0">
                  <c:v>  Total revenue</c:v>
                </c:pt>
              </c:strCache>
            </c:strRef>
          </c:tx>
          <c:spPr>
            <a:solidFill>
              <a:schemeClr val="accent1"/>
            </a:solidFill>
            <a:ln>
              <a:noFill/>
            </a:ln>
            <a:effectLst/>
          </c:spPr>
          <c:invertIfNegative val="0"/>
          <c:cat>
            <c:strRef>
              <c:f>'Income Statemnt'!$B$4:$G$4</c:f>
              <c:strCache>
                <c:ptCount val="5"/>
                <c:pt idx="0">
                  <c:v>2021</c:v>
                </c:pt>
                <c:pt idx="1">
                  <c:v>2022</c:v>
                </c:pt>
                <c:pt idx="2">
                  <c:v>2023</c:v>
                </c:pt>
                <c:pt idx="3">
                  <c:v>2024</c:v>
                </c:pt>
                <c:pt idx="4">
                  <c:v>2025</c:v>
                </c:pt>
              </c:strCache>
            </c:strRef>
          </c:cat>
          <c:val>
            <c:numRef>
              <c:f>'Income Statemnt'!$B$6:$G$6</c:f>
              <c:numCache>
                <c:formatCode>0</c:formatCode>
                <c:ptCount val="5"/>
                <c:pt idx="0">
                  <c:v>30953.9</c:v>
                </c:pt>
                <c:pt idx="1">
                  <c:v>34028.9</c:v>
                </c:pt>
                <c:pt idx="2">
                  <c:v>37388.5</c:v>
                </c:pt>
                <c:pt idx="3">
                  <c:v>33494</c:v>
                </c:pt>
                <c:pt idx="4">
                  <c:v>34392</c:v>
                </c:pt>
              </c:numCache>
            </c:numRef>
          </c:val>
          <c:extLst>
            <c:ext xmlns:c16="http://schemas.microsoft.com/office/drawing/2014/chart" uri="{C3380CC4-5D6E-409C-BE32-E72D297353CC}">
              <c16:uniqueId val="{00000000-5D92-4872-9A5E-C6F42A84C5CC}"/>
            </c:ext>
          </c:extLst>
        </c:ser>
        <c:dLbls>
          <c:showLegendKey val="0"/>
          <c:showVal val="0"/>
          <c:showCatName val="0"/>
          <c:showSerName val="0"/>
          <c:showPercent val="0"/>
          <c:showBubbleSize val="0"/>
        </c:dLbls>
        <c:gapWidth val="219"/>
        <c:overlap val="-27"/>
        <c:axId val="1909196295"/>
        <c:axId val="1909198343"/>
      </c:barChart>
      <c:catAx>
        <c:axId val="1909196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8343"/>
        <c:crosses val="autoZero"/>
        <c:auto val="1"/>
        <c:lblAlgn val="ctr"/>
        <c:lblOffset val="100"/>
        <c:noMultiLvlLbl val="0"/>
      </c:catAx>
      <c:valAx>
        <c:axId val="1909198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6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CF Intrinsic Value vs Current Market Price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'Financial Analysis'!$A$62:$A$63</c:f>
              <c:strCache>
                <c:ptCount val="2"/>
                <c:pt idx="0">
                  <c:v>DCF Instrinsic Value </c:v>
                </c:pt>
                <c:pt idx="1">
                  <c:v>Current Market Price</c:v>
                </c:pt>
              </c:strCache>
            </c:strRef>
          </c:cat>
          <c:val>
            <c:numRef>
              <c:f>'Financial Analysis'!$B$62:$B$63</c:f>
              <c:numCache>
                <c:formatCode>General</c:formatCode>
                <c:ptCount val="2"/>
                <c:pt idx="0" formatCode="0.00">
                  <c:v>327.59709527552502</c:v>
                </c:pt>
                <c:pt idx="1">
                  <c:v>284.43</c:v>
                </c:pt>
              </c:numCache>
            </c:numRef>
          </c:val>
          <c:extLst>
            <c:ext xmlns:c16="http://schemas.microsoft.com/office/drawing/2014/chart" uri="{C3380CC4-5D6E-409C-BE32-E72D297353CC}">
              <c16:uniqueId val="{00000000-89FD-4B27-B0F4-3292813D8928}"/>
            </c:ext>
          </c:extLst>
        </c:ser>
        <c:dLbls>
          <c:dLblPos val="inEnd"/>
          <c:showLegendKey val="0"/>
          <c:showVal val="1"/>
          <c:showCatName val="0"/>
          <c:showSerName val="0"/>
          <c:showPercent val="0"/>
          <c:showBubbleSize val="0"/>
        </c:dLbls>
        <c:gapWidth val="65"/>
        <c:axId val="1548067408"/>
        <c:axId val="1548061648"/>
      </c:barChart>
      <c:catAx>
        <c:axId val="154806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8061648"/>
        <c:crosses val="autoZero"/>
        <c:auto val="1"/>
        <c:lblAlgn val="ctr"/>
        <c:lblOffset val="100"/>
        <c:noMultiLvlLbl val="0"/>
      </c:catAx>
      <c:valAx>
        <c:axId val="1548061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80674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Analysis'!$A$8</c:f>
              <c:strCache>
                <c:ptCount val="1"/>
                <c:pt idx="0">
                  <c:v>Return on Equity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Analysis'!$B$8:$F$8</c:f>
              <c:numCache>
                <c:formatCode>0.00%</c:formatCode>
                <c:ptCount val="5"/>
                <c:pt idx="0">
                  <c:v>0.11433429775138318</c:v>
                </c:pt>
                <c:pt idx="1">
                  <c:v>0.18380186906394433</c:v>
                </c:pt>
                <c:pt idx="2">
                  <c:v>0.15584881997491734</c:v>
                </c:pt>
                <c:pt idx="3">
                  <c:v>0.16345579855646605</c:v>
                </c:pt>
                <c:pt idx="4">
                  <c:v>0.22338882765821683</c:v>
                </c:pt>
              </c:numCache>
            </c:numRef>
          </c:val>
          <c:smooth val="0"/>
          <c:extLst>
            <c:ext xmlns:c16="http://schemas.microsoft.com/office/drawing/2014/chart" uri="{C3380CC4-5D6E-409C-BE32-E72D297353CC}">
              <c16:uniqueId val="{00000000-B1D3-485C-8188-EC71A827C94D}"/>
            </c:ext>
          </c:extLst>
        </c:ser>
        <c:dLbls>
          <c:dLblPos val="ctr"/>
          <c:showLegendKey val="0"/>
          <c:showVal val="1"/>
          <c:showCatName val="0"/>
          <c:showSerName val="0"/>
          <c:showPercent val="0"/>
          <c:showBubbleSize val="0"/>
        </c:dLbls>
        <c:smooth val="0"/>
        <c:axId val="1548090448"/>
        <c:axId val="1548090928"/>
      </c:lineChart>
      <c:catAx>
        <c:axId val="154809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90928"/>
        <c:crosses val="autoZero"/>
        <c:auto val="1"/>
        <c:lblAlgn val="ctr"/>
        <c:lblOffset val="100"/>
        <c:noMultiLvlLbl val="0"/>
      </c:catAx>
      <c:valAx>
        <c:axId val="1548090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90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Tiger Brand  Revenue &amp; EBIT Comparison(R'million)</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'Financial Analysis'!$A$2</c:f>
              <c:strCache>
                <c:ptCount val="1"/>
                <c:pt idx="0">
                  <c:v>  Total revenue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Analysis'!$B$2:$F$2</c:f>
              <c:numCache>
                <c:formatCode>0</c:formatCode>
                <c:ptCount val="5"/>
                <c:pt idx="0">
                  <c:v>30953.9</c:v>
                </c:pt>
                <c:pt idx="1">
                  <c:v>34028.9</c:v>
                </c:pt>
                <c:pt idx="2">
                  <c:v>37388.5</c:v>
                </c:pt>
                <c:pt idx="3">
                  <c:v>33494</c:v>
                </c:pt>
                <c:pt idx="4">
                  <c:v>34392</c:v>
                </c:pt>
              </c:numCache>
            </c:numRef>
          </c:val>
          <c:extLst>
            <c:ext xmlns:c16="http://schemas.microsoft.com/office/drawing/2014/chart" uri="{C3380CC4-5D6E-409C-BE32-E72D297353CC}">
              <c16:uniqueId val="{00000000-5A9B-4266-8BF5-8FF3A0EBE681}"/>
            </c:ext>
          </c:extLst>
        </c:ser>
        <c:ser>
          <c:idx val="1"/>
          <c:order val="1"/>
          <c:tx>
            <c:strRef>
              <c:f>'Financial Analysis'!$A$3</c:f>
              <c:strCache>
                <c:ptCount val="1"/>
                <c:pt idx="0">
                  <c:v>EBIT Growth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Analysis'!$B$3:$F$3</c:f>
              <c:numCache>
                <c:formatCode>0</c:formatCode>
                <c:ptCount val="5"/>
                <c:pt idx="0">
                  <c:v>2081.3000000000002</c:v>
                </c:pt>
                <c:pt idx="1">
                  <c:v>3414.8</c:v>
                </c:pt>
                <c:pt idx="2">
                  <c:v>3075</c:v>
                </c:pt>
                <c:pt idx="3">
                  <c:v>2840</c:v>
                </c:pt>
                <c:pt idx="4">
                  <c:v>3812</c:v>
                </c:pt>
              </c:numCache>
            </c:numRef>
          </c:val>
          <c:extLst>
            <c:ext xmlns:c16="http://schemas.microsoft.com/office/drawing/2014/chart" uri="{C3380CC4-5D6E-409C-BE32-E72D297353CC}">
              <c16:uniqueId val="{00000001-5A9B-4266-8BF5-8FF3A0EBE681}"/>
            </c:ext>
          </c:extLst>
        </c:ser>
        <c:dLbls>
          <c:dLblPos val="ctr"/>
          <c:showLegendKey val="0"/>
          <c:showVal val="1"/>
          <c:showCatName val="0"/>
          <c:showSerName val="0"/>
          <c:showPercent val="0"/>
          <c:showBubbleSize val="0"/>
        </c:dLbls>
        <c:gapWidth val="150"/>
        <c:overlap val="100"/>
        <c:axId val="1566011616"/>
        <c:axId val="1566028416"/>
      </c:barChart>
      <c:catAx>
        <c:axId val="156601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28416"/>
        <c:crosses val="autoZero"/>
        <c:auto val="1"/>
        <c:lblAlgn val="ctr"/>
        <c:lblOffset val="100"/>
        <c:noMultiLvlLbl val="0"/>
      </c:catAx>
      <c:valAx>
        <c:axId val="156602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11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ZA"/>
              <a:t>Profitability Margin</a:t>
            </a:r>
          </a:p>
        </c:rich>
      </c:tx>
      <c:layout>
        <c:manualLayout>
          <c:xMode val="edge"/>
          <c:yMode val="edge"/>
          <c:x val="0.29561114093057517"/>
          <c:y val="2.777771686608285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741938720581632E-2"/>
          <c:y val="0.21860748806836783"/>
          <c:w val="0.94933793897524466"/>
          <c:h val="0.7246842384138602"/>
        </c:manualLayout>
      </c:layout>
      <c:barChart>
        <c:barDir val="col"/>
        <c:grouping val="clustered"/>
        <c:varyColors val="0"/>
        <c:ser>
          <c:idx val="0"/>
          <c:order val="0"/>
          <c:tx>
            <c:strRef>
              <c:f>'Financial Analysis'!$A$6</c:f>
              <c:strCache>
                <c:ptCount val="1"/>
                <c:pt idx="0">
                  <c:v>Gross Profit Margin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Analysis'!$B$6:$F$6</c:f>
              <c:numCache>
                <c:formatCode>0.0%</c:formatCode>
                <c:ptCount val="5"/>
                <c:pt idx="0">
                  <c:v>0.28462326233527924</c:v>
                </c:pt>
                <c:pt idx="1">
                  <c:v>0.30314820637752038</c:v>
                </c:pt>
                <c:pt idx="2">
                  <c:v>0.27656364925043797</c:v>
                </c:pt>
                <c:pt idx="3">
                  <c:v>0.29121633725443363</c:v>
                </c:pt>
                <c:pt idx="4">
                  <c:v>0.31321237497092347</c:v>
                </c:pt>
              </c:numCache>
            </c:numRef>
          </c:val>
          <c:extLst>
            <c:ext xmlns:c16="http://schemas.microsoft.com/office/drawing/2014/chart" uri="{C3380CC4-5D6E-409C-BE32-E72D297353CC}">
              <c16:uniqueId val="{00000000-E23D-4DB1-A92F-12D56B27CBB1}"/>
            </c:ext>
          </c:extLst>
        </c:ser>
        <c:ser>
          <c:idx val="1"/>
          <c:order val="1"/>
          <c:tx>
            <c:strRef>
              <c:f>'Financial Analysis'!$A$7</c:f>
              <c:strCache>
                <c:ptCount val="1"/>
                <c:pt idx="0">
                  <c:v>Net Profit Margin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Analysis'!$B$7:$F$7</c:f>
              <c:numCache>
                <c:formatCode>0.00%</c:formatCode>
                <c:ptCount val="5"/>
                <c:pt idx="0">
                  <c:v>5.8215604495717825E-2</c:v>
                </c:pt>
                <c:pt idx="1">
                  <c:v>8.5077683968626666E-2</c:v>
                </c:pt>
                <c:pt idx="2">
                  <c:v>7.3121414338633534E-2</c:v>
                </c:pt>
                <c:pt idx="3">
                  <c:v>8.9926554009673379E-2</c:v>
                </c:pt>
                <c:pt idx="4">
                  <c:v>0.1119737148173994</c:v>
                </c:pt>
              </c:numCache>
            </c:numRef>
          </c:val>
          <c:extLst>
            <c:ext xmlns:c16="http://schemas.microsoft.com/office/drawing/2014/chart" uri="{C3380CC4-5D6E-409C-BE32-E72D297353CC}">
              <c16:uniqueId val="{00000001-E23D-4DB1-A92F-12D56B27CBB1}"/>
            </c:ext>
          </c:extLst>
        </c:ser>
        <c:ser>
          <c:idx val="2"/>
          <c:order val="2"/>
          <c:tx>
            <c:strRef>
              <c:f>'Financial Analysis'!$A$8</c:f>
              <c:strCache>
                <c:ptCount val="1"/>
                <c:pt idx="0">
                  <c:v>Return on Equity</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Analysis'!$B$8:$F$8</c:f>
              <c:numCache>
                <c:formatCode>0.00%</c:formatCode>
                <c:ptCount val="5"/>
                <c:pt idx="0">
                  <c:v>0.11433429775138318</c:v>
                </c:pt>
                <c:pt idx="1">
                  <c:v>0.18380186906394433</c:v>
                </c:pt>
                <c:pt idx="2">
                  <c:v>0.15584881997491734</c:v>
                </c:pt>
                <c:pt idx="3">
                  <c:v>0.16345579855646605</c:v>
                </c:pt>
                <c:pt idx="4">
                  <c:v>0.22338882765821683</c:v>
                </c:pt>
              </c:numCache>
            </c:numRef>
          </c:val>
          <c:extLst>
            <c:ext xmlns:c16="http://schemas.microsoft.com/office/drawing/2014/chart" uri="{C3380CC4-5D6E-409C-BE32-E72D297353CC}">
              <c16:uniqueId val="{00000002-E23D-4DB1-A92F-12D56B27CBB1}"/>
            </c:ext>
          </c:extLst>
        </c:ser>
        <c:ser>
          <c:idx val="3"/>
          <c:order val="3"/>
          <c:tx>
            <c:strRef>
              <c:f>'Financial Analysis'!$A$13</c:f>
              <c:strCache>
                <c:ptCount val="1"/>
                <c:pt idx="0">
                  <c:v>EBIT Margin</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Analysis'!$B$13:$F$13</c:f>
              <c:numCache>
                <c:formatCode>0.0%</c:formatCode>
                <c:ptCount val="5"/>
                <c:pt idx="0">
                  <c:v>6.7238700131485862E-2</c:v>
                </c:pt>
                <c:pt idx="1">
                  <c:v>0.10034999662051962</c:v>
                </c:pt>
                <c:pt idx="2">
                  <c:v>8.2244540433555766E-2</c:v>
                </c:pt>
                <c:pt idx="3">
                  <c:v>8.4791305905535325E-2</c:v>
                </c:pt>
                <c:pt idx="4">
                  <c:v>0.11083973016980693</c:v>
                </c:pt>
              </c:numCache>
            </c:numRef>
          </c:val>
          <c:extLst>
            <c:ext xmlns:c16="http://schemas.microsoft.com/office/drawing/2014/chart" uri="{C3380CC4-5D6E-409C-BE32-E72D297353CC}">
              <c16:uniqueId val="{00000003-E23D-4DB1-A92F-12D56B27CBB1}"/>
            </c:ext>
          </c:extLst>
        </c:ser>
        <c:dLbls>
          <c:dLblPos val="outEnd"/>
          <c:showLegendKey val="0"/>
          <c:showVal val="1"/>
          <c:showCatName val="0"/>
          <c:showSerName val="0"/>
          <c:showPercent val="0"/>
          <c:showBubbleSize val="0"/>
        </c:dLbls>
        <c:gapWidth val="444"/>
        <c:overlap val="-90"/>
        <c:axId val="1566049056"/>
        <c:axId val="1566046656"/>
      </c:barChart>
      <c:catAx>
        <c:axId val="15660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66046656"/>
        <c:crosses val="autoZero"/>
        <c:auto val="1"/>
        <c:lblAlgn val="ctr"/>
        <c:lblOffset val="100"/>
        <c:noMultiLvlLbl val="0"/>
      </c:catAx>
      <c:valAx>
        <c:axId val="1566046656"/>
        <c:scaling>
          <c:orientation val="minMax"/>
        </c:scaling>
        <c:delete val="1"/>
        <c:axPos val="l"/>
        <c:numFmt formatCode="0.0%" sourceLinked="1"/>
        <c:majorTickMark val="none"/>
        <c:minorTickMark val="none"/>
        <c:tickLblPos val="nextTo"/>
        <c:crossAx val="1566049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03937007874015"/>
          <c:y val="0.14393518518518519"/>
          <c:w val="0.81562729658792654"/>
          <c:h val="0.62873468941382327"/>
        </c:manualLayout>
      </c:layout>
      <c:lineChart>
        <c:grouping val="standard"/>
        <c:varyColors val="0"/>
        <c:ser>
          <c:idx val="0"/>
          <c:order val="0"/>
          <c:tx>
            <c:strRef>
              <c:f>'Financial Analysis'!$A$34</c:f>
              <c:strCache>
                <c:ptCount val="1"/>
                <c:pt idx="0">
                  <c:v>Interest Coverage Ratio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Analysis'!$B$34:$F$34</c:f>
              <c:numCache>
                <c:formatCode>0.00</c:formatCode>
                <c:ptCount val="5"/>
                <c:pt idx="0">
                  <c:v>36.5140350877193</c:v>
                </c:pt>
                <c:pt idx="1">
                  <c:v>38.325476992143663</c:v>
                </c:pt>
                <c:pt idx="2">
                  <c:v>11.478163493840986</c:v>
                </c:pt>
                <c:pt idx="3">
                  <c:v>9.1909385113268609</c:v>
                </c:pt>
                <c:pt idx="4">
                  <c:v>52.944444444444443</c:v>
                </c:pt>
              </c:numCache>
            </c:numRef>
          </c:val>
          <c:smooth val="0"/>
          <c:extLst>
            <c:ext xmlns:c16="http://schemas.microsoft.com/office/drawing/2014/chart" uri="{C3380CC4-5D6E-409C-BE32-E72D297353CC}">
              <c16:uniqueId val="{00000000-9798-4B13-B4D3-B3AFAF53159B}"/>
            </c:ext>
          </c:extLst>
        </c:ser>
        <c:dLbls>
          <c:dLblPos val="ctr"/>
          <c:showLegendKey val="0"/>
          <c:showVal val="1"/>
          <c:showCatName val="0"/>
          <c:showSerName val="0"/>
          <c:showPercent val="0"/>
          <c:showBubbleSize val="0"/>
        </c:dLbls>
        <c:smooth val="0"/>
        <c:axId val="1548065968"/>
        <c:axId val="1548068848"/>
      </c:lineChart>
      <c:catAx>
        <c:axId val="154806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68848"/>
        <c:crosses val="autoZero"/>
        <c:auto val="1"/>
        <c:lblAlgn val="ctr"/>
        <c:lblOffset val="100"/>
        <c:noMultiLvlLbl val="0"/>
      </c:catAx>
      <c:valAx>
        <c:axId val="1548068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R'millions</a:t>
                </a:r>
              </a:p>
            </c:rich>
          </c:tx>
          <c:layout>
            <c:manualLayout>
              <c:xMode val="edge"/>
              <c:yMode val="edge"/>
              <c:x val="3.0555555555555555E-2"/>
              <c:y val="0.379587343248760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65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Peer EBIT Margin comparison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Analysis'!$B$66</c:f>
              <c:strCache>
                <c:ptCount val="1"/>
                <c:pt idx="0">
                  <c:v>Tiger Brand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Analysis'!$A$69</c:f>
              <c:strCache>
                <c:ptCount val="1"/>
                <c:pt idx="0">
                  <c:v>EBIT Margin</c:v>
                </c:pt>
              </c:strCache>
            </c:strRef>
          </c:cat>
          <c:val>
            <c:numRef>
              <c:f>'Financial Analysis'!$B$69</c:f>
              <c:numCache>
                <c:formatCode>0.00%</c:formatCode>
                <c:ptCount val="1"/>
                <c:pt idx="0">
                  <c:v>0.111</c:v>
                </c:pt>
              </c:numCache>
            </c:numRef>
          </c:val>
          <c:extLst>
            <c:ext xmlns:c16="http://schemas.microsoft.com/office/drawing/2014/chart" uri="{C3380CC4-5D6E-409C-BE32-E72D297353CC}">
              <c16:uniqueId val="{00000000-3787-428E-8879-147538224F4D}"/>
            </c:ext>
          </c:extLst>
        </c:ser>
        <c:ser>
          <c:idx val="1"/>
          <c:order val="1"/>
          <c:tx>
            <c:strRef>
              <c:f>'Financial Analysis'!$C$66</c:f>
              <c:strCache>
                <c:ptCount val="1"/>
                <c:pt idx="0">
                  <c:v>AVI ltd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Analysis'!$A$69</c:f>
              <c:strCache>
                <c:ptCount val="1"/>
                <c:pt idx="0">
                  <c:v>EBIT Margin</c:v>
                </c:pt>
              </c:strCache>
            </c:strRef>
          </c:cat>
          <c:val>
            <c:numRef>
              <c:f>'Financial Analysis'!$C$69</c:f>
              <c:numCache>
                <c:formatCode>0.00%</c:formatCode>
                <c:ptCount val="1"/>
                <c:pt idx="0">
                  <c:v>0.222</c:v>
                </c:pt>
              </c:numCache>
            </c:numRef>
          </c:val>
          <c:extLst>
            <c:ext xmlns:c16="http://schemas.microsoft.com/office/drawing/2014/chart" uri="{C3380CC4-5D6E-409C-BE32-E72D297353CC}">
              <c16:uniqueId val="{00000001-3787-428E-8879-147538224F4D}"/>
            </c:ext>
          </c:extLst>
        </c:ser>
        <c:ser>
          <c:idx val="2"/>
          <c:order val="2"/>
          <c:tx>
            <c:strRef>
              <c:f>'Financial Analysis'!$D$66</c:f>
              <c:strCache>
                <c:ptCount val="1"/>
                <c:pt idx="0">
                  <c:v>RCL Food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Analysis'!$A$69</c:f>
              <c:strCache>
                <c:ptCount val="1"/>
                <c:pt idx="0">
                  <c:v>EBIT Margin</c:v>
                </c:pt>
              </c:strCache>
            </c:strRef>
          </c:cat>
          <c:val>
            <c:numRef>
              <c:f>'Financial Analysis'!$D$69</c:f>
              <c:numCache>
                <c:formatCode>0.00%</c:formatCode>
                <c:ptCount val="1"/>
                <c:pt idx="0">
                  <c:v>7.0000000000000007E-2</c:v>
                </c:pt>
              </c:numCache>
            </c:numRef>
          </c:val>
          <c:extLst>
            <c:ext xmlns:c16="http://schemas.microsoft.com/office/drawing/2014/chart" uri="{C3380CC4-5D6E-409C-BE32-E72D297353CC}">
              <c16:uniqueId val="{00000002-3787-428E-8879-147538224F4D}"/>
            </c:ext>
          </c:extLst>
        </c:ser>
        <c:ser>
          <c:idx val="3"/>
          <c:order val="3"/>
          <c:tx>
            <c:strRef>
              <c:f>'Financial Analysis'!$E$66</c:f>
              <c:strCache>
                <c:ptCount val="1"/>
                <c:pt idx="0">
                  <c:v>Premier Group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Analysis'!$A$69</c:f>
              <c:strCache>
                <c:ptCount val="1"/>
                <c:pt idx="0">
                  <c:v>EBIT Margin</c:v>
                </c:pt>
              </c:strCache>
            </c:strRef>
          </c:cat>
          <c:val>
            <c:numRef>
              <c:f>'Financial Analysis'!$E$69</c:f>
              <c:numCache>
                <c:formatCode>0.00%</c:formatCode>
                <c:ptCount val="1"/>
                <c:pt idx="0">
                  <c:v>9.6000000000000002E-2</c:v>
                </c:pt>
              </c:numCache>
            </c:numRef>
          </c:val>
          <c:extLst>
            <c:ext xmlns:c16="http://schemas.microsoft.com/office/drawing/2014/chart" uri="{C3380CC4-5D6E-409C-BE32-E72D297353CC}">
              <c16:uniqueId val="{00000003-3787-428E-8879-147538224F4D}"/>
            </c:ext>
          </c:extLst>
        </c:ser>
        <c:dLbls>
          <c:dLblPos val="outEnd"/>
          <c:showLegendKey val="0"/>
          <c:showVal val="1"/>
          <c:showCatName val="0"/>
          <c:showSerName val="0"/>
          <c:showPercent val="0"/>
          <c:showBubbleSize val="0"/>
        </c:dLbls>
        <c:gapWidth val="219"/>
        <c:overlap val="-27"/>
        <c:axId val="1566042816"/>
        <c:axId val="1566050016"/>
      </c:barChart>
      <c:catAx>
        <c:axId val="15660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50016"/>
        <c:crosses val="autoZero"/>
        <c:auto val="1"/>
        <c:lblAlgn val="ctr"/>
        <c:lblOffset val="100"/>
        <c:noMultiLvlLbl val="0"/>
      </c:catAx>
      <c:valAx>
        <c:axId val="1566050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4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Peer Revenue/EBIT comparison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Analysis'!$B$66</c:f>
              <c:strCache>
                <c:ptCount val="1"/>
                <c:pt idx="0">
                  <c:v>Tiger Brand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'Financial Analysis'!$A$67:$A$68</c15:sqref>
                  </c15:fullRef>
                </c:ext>
              </c:extLst>
              <c:f>'Financial Analysis'!$A$67</c:f>
              <c:strCache>
                <c:ptCount val="1"/>
                <c:pt idx="0">
                  <c:v>Revenue (R'bn)</c:v>
                </c:pt>
              </c:strCache>
            </c:strRef>
          </c:cat>
          <c:val>
            <c:numRef>
              <c:extLst>
                <c:ext xmlns:c15="http://schemas.microsoft.com/office/drawing/2012/chart" uri="{02D57815-91ED-43cb-92C2-25804820EDAC}">
                  <c15:fullRef>
                    <c15:sqref>'Financial Analysis'!$B$67:$B$68</c15:sqref>
                  </c15:fullRef>
                </c:ext>
              </c:extLst>
              <c:f>'Financial Analysis'!$B$67</c:f>
              <c:numCache>
                <c:formatCode>0.0</c:formatCode>
                <c:ptCount val="1"/>
                <c:pt idx="0" formatCode="General">
                  <c:v>34.4</c:v>
                </c:pt>
              </c:numCache>
            </c:numRef>
          </c:val>
          <c:extLst>
            <c:ext xmlns:c16="http://schemas.microsoft.com/office/drawing/2014/chart" uri="{C3380CC4-5D6E-409C-BE32-E72D297353CC}">
              <c16:uniqueId val="{00000000-4FE7-4484-AB55-D5805B881907}"/>
            </c:ext>
          </c:extLst>
        </c:ser>
        <c:ser>
          <c:idx val="1"/>
          <c:order val="1"/>
          <c:tx>
            <c:strRef>
              <c:f>'Financial Analysis'!$C$66</c:f>
              <c:strCache>
                <c:ptCount val="1"/>
                <c:pt idx="0">
                  <c:v>AVI ltd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'Financial Analysis'!$A$67:$A$68</c15:sqref>
                  </c15:fullRef>
                </c:ext>
              </c:extLst>
              <c:f>'Financial Analysis'!$A$67</c:f>
              <c:strCache>
                <c:ptCount val="1"/>
                <c:pt idx="0">
                  <c:v>Revenue (R'bn)</c:v>
                </c:pt>
              </c:strCache>
            </c:strRef>
          </c:cat>
          <c:val>
            <c:numRef>
              <c:extLst>
                <c:ext xmlns:c15="http://schemas.microsoft.com/office/drawing/2012/chart" uri="{02D57815-91ED-43cb-92C2-25804820EDAC}">
                  <c15:fullRef>
                    <c15:sqref>'Financial Analysis'!$C$67:$C$68</c15:sqref>
                  </c15:fullRef>
                </c:ext>
              </c:extLst>
              <c:f>'Financial Analysis'!$C$67</c:f>
              <c:numCache>
                <c:formatCode>General</c:formatCode>
                <c:ptCount val="1"/>
                <c:pt idx="0">
                  <c:v>16</c:v>
                </c:pt>
              </c:numCache>
            </c:numRef>
          </c:val>
          <c:extLst>
            <c:ext xmlns:c16="http://schemas.microsoft.com/office/drawing/2014/chart" uri="{C3380CC4-5D6E-409C-BE32-E72D297353CC}">
              <c16:uniqueId val="{00000001-4FE7-4484-AB55-D5805B881907}"/>
            </c:ext>
          </c:extLst>
        </c:ser>
        <c:ser>
          <c:idx val="2"/>
          <c:order val="2"/>
          <c:tx>
            <c:strRef>
              <c:f>'Financial Analysis'!$D$66</c:f>
              <c:strCache>
                <c:ptCount val="1"/>
                <c:pt idx="0">
                  <c:v>RCL Food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'Financial Analysis'!$A$67:$A$68</c15:sqref>
                  </c15:fullRef>
                </c:ext>
              </c:extLst>
              <c:f>'Financial Analysis'!$A$67</c:f>
              <c:strCache>
                <c:ptCount val="1"/>
                <c:pt idx="0">
                  <c:v>Revenue (R'bn)</c:v>
                </c:pt>
              </c:strCache>
            </c:strRef>
          </c:cat>
          <c:val>
            <c:numRef>
              <c:extLst>
                <c:ext xmlns:c15="http://schemas.microsoft.com/office/drawing/2012/chart" uri="{02D57815-91ED-43cb-92C2-25804820EDAC}">
                  <c15:fullRef>
                    <c15:sqref>'Financial Analysis'!$D$67:$D$68</c15:sqref>
                  </c15:fullRef>
                </c:ext>
              </c:extLst>
              <c:f>'Financial Analysis'!$D$67</c:f>
              <c:numCache>
                <c:formatCode>General</c:formatCode>
                <c:ptCount val="1"/>
                <c:pt idx="0">
                  <c:v>26.5</c:v>
                </c:pt>
              </c:numCache>
            </c:numRef>
          </c:val>
          <c:extLst>
            <c:ext xmlns:c16="http://schemas.microsoft.com/office/drawing/2014/chart" uri="{C3380CC4-5D6E-409C-BE32-E72D297353CC}">
              <c16:uniqueId val="{00000002-4FE7-4484-AB55-D5805B881907}"/>
            </c:ext>
          </c:extLst>
        </c:ser>
        <c:ser>
          <c:idx val="3"/>
          <c:order val="3"/>
          <c:tx>
            <c:strRef>
              <c:f>'Financial Analysis'!$E$66</c:f>
              <c:strCache>
                <c:ptCount val="1"/>
                <c:pt idx="0">
                  <c:v>Premier Group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'Financial Analysis'!$A$67:$A$68</c15:sqref>
                  </c15:fullRef>
                </c:ext>
              </c:extLst>
              <c:f>'Financial Analysis'!$A$67</c:f>
              <c:strCache>
                <c:ptCount val="1"/>
                <c:pt idx="0">
                  <c:v>Revenue (R'bn)</c:v>
                </c:pt>
              </c:strCache>
            </c:strRef>
          </c:cat>
          <c:val>
            <c:numRef>
              <c:extLst>
                <c:ext xmlns:c15="http://schemas.microsoft.com/office/drawing/2012/chart" uri="{02D57815-91ED-43cb-92C2-25804820EDAC}">
                  <c15:fullRef>
                    <c15:sqref>'Financial Analysis'!$E$67:$E$68</c15:sqref>
                  </c15:fullRef>
                </c:ext>
              </c:extLst>
              <c:f>'Financial Analysis'!$E$67</c:f>
              <c:numCache>
                <c:formatCode>General</c:formatCode>
                <c:ptCount val="1"/>
                <c:pt idx="0">
                  <c:v>19.899999999999999</c:v>
                </c:pt>
              </c:numCache>
            </c:numRef>
          </c:val>
          <c:extLst>
            <c:ext xmlns:c16="http://schemas.microsoft.com/office/drawing/2014/chart" uri="{C3380CC4-5D6E-409C-BE32-E72D297353CC}">
              <c16:uniqueId val="{00000003-4FE7-4484-AB55-D5805B881907}"/>
            </c:ext>
          </c:extLst>
        </c:ser>
        <c:dLbls>
          <c:dLblPos val="outEnd"/>
          <c:showLegendKey val="0"/>
          <c:showVal val="1"/>
          <c:showCatName val="0"/>
          <c:showSerName val="0"/>
          <c:showPercent val="0"/>
          <c:showBubbleSize val="0"/>
        </c:dLbls>
        <c:gapWidth val="219"/>
        <c:overlap val="-27"/>
        <c:axId val="1566042816"/>
        <c:axId val="1566050016"/>
      </c:barChart>
      <c:catAx>
        <c:axId val="156604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50016"/>
        <c:crosses val="autoZero"/>
        <c:auto val="1"/>
        <c:lblAlgn val="ctr"/>
        <c:lblOffset val="100"/>
        <c:noMultiLvlLbl val="0"/>
      </c:catAx>
      <c:valAx>
        <c:axId val="15660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4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kern="1200" cap="none" spc="0" normalizeH="0" baseline="0">
                <a:solidFill>
                  <a:srgbClr val="000000">
                    <a:lumMod val="50000"/>
                    <a:lumOff val="50000"/>
                  </a:srgbClr>
                </a:solidFill>
              </a:rPr>
              <a:t>Revenue, Cost of Sales &amp; Gross Margin Expansion Trajectory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Analysis'!$A$2</c:f>
              <c:strCache>
                <c:ptCount val="1"/>
                <c:pt idx="0">
                  <c:v>  Total revenue</c:v>
                </c:pt>
              </c:strCache>
            </c:strRef>
          </c:tx>
          <c:spPr>
            <a:solidFill>
              <a:schemeClr val="accent1"/>
            </a:solidFill>
            <a:ln>
              <a:noFill/>
            </a:ln>
            <a:effectLst/>
          </c:spPr>
          <c:invertIfNegative val="0"/>
          <c:cat>
            <c:numRef>
              <c:f>'Financial Analysis'!$B$1:$K$1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'Financial Analysis'!$B$2:$K$2</c:f>
              <c:numCache>
                <c:formatCode>0</c:formatCode>
                <c:ptCount val="10"/>
                <c:pt idx="0">
                  <c:v>30953.9</c:v>
                </c:pt>
                <c:pt idx="1">
                  <c:v>34028.9</c:v>
                </c:pt>
                <c:pt idx="2">
                  <c:v>37388.5</c:v>
                </c:pt>
                <c:pt idx="3">
                  <c:v>33494</c:v>
                </c:pt>
                <c:pt idx="4">
                  <c:v>34392</c:v>
                </c:pt>
                <c:pt idx="5">
                  <c:v>35429.923491868445</c:v>
                </c:pt>
                <c:pt idx="6">
                  <c:v>36499.170697826572</c:v>
                </c:pt>
                <c:pt idx="7">
                  <c:v>37600.686942912362</c:v>
                </c:pt>
                <c:pt idx="8">
                  <c:v>38735.446081329428</c:v>
                </c:pt>
                <c:pt idx="9">
                  <c:v>39904.45135743478</c:v>
                </c:pt>
              </c:numCache>
            </c:numRef>
          </c:val>
          <c:extLst>
            <c:ext xmlns:c16="http://schemas.microsoft.com/office/drawing/2014/chart" uri="{C3380CC4-5D6E-409C-BE32-E72D297353CC}">
              <c16:uniqueId val="{00000000-EA4A-4C29-A874-A936B2D8DE58}"/>
            </c:ext>
          </c:extLst>
        </c:ser>
        <c:ser>
          <c:idx val="1"/>
          <c:order val="1"/>
          <c:tx>
            <c:strRef>
              <c:f>'Financial Analysis'!$A$3</c:f>
              <c:strCache>
                <c:ptCount val="1"/>
                <c:pt idx="0">
                  <c:v>EBIT Growth </c:v>
                </c:pt>
              </c:strCache>
            </c:strRef>
          </c:tx>
          <c:spPr>
            <a:solidFill>
              <a:schemeClr val="accent2"/>
            </a:solidFill>
            <a:ln>
              <a:noFill/>
            </a:ln>
            <a:effectLst/>
          </c:spPr>
          <c:invertIfNegative val="0"/>
          <c:cat>
            <c:numRef>
              <c:f>'Financial Analysis'!$B$1:$K$1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'Financial Analysis'!$B$3:$K$3</c:f>
              <c:numCache>
                <c:formatCode>0</c:formatCode>
                <c:ptCount val="10"/>
                <c:pt idx="0">
                  <c:v>2081.3000000000002</c:v>
                </c:pt>
                <c:pt idx="1">
                  <c:v>3414.8</c:v>
                </c:pt>
                <c:pt idx="2">
                  <c:v>3075</c:v>
                </c:pt>
                <c:pt idx="3">
                  <c:v>2840</c:v>
                </c:pt>
                <c:pt idx="4">
                  <c:v>3812</c:v>
                </c:pt>
                <c:pt idx="5">
                  <c:v>3849.2534918684469</c:v>
                </c:pt>
                <c:pt idx="6">
                  <c:v>4028.9622678265769</c:v>
                </c:pt>
                <c:pt idx="7">
                  <c:v>4213.1374631223707</c:v>
                </c:pt>
                <c:pt idx="8">
                  <c:v>4401.7830260887713</c:v>
                </c:pt>
                <c:pt idx="9">
                  <c:v>4594.8951173243931</c:v>
                </c:pt>
              </c:numCache>
            </c:numRef>
          </c:val>
          <c:extLst>
            <c:ext xmlns:c16="http://schemas.microsoft.com/office/drawing/2014/chart" uri="{C3380CC4-5D6E-409C-BE32-E72D297353CC}">
              <c16:uniqueId val="{00000001-EA4A-4C29-A874-A936B2D8DE58}"/>
            </c:ext>
          </c:extLst>
        </c:ser>
        <c:ser>
          <c:idx val="2"/>
          <c:order val="2"/>
          <c:tx>
            <c:strRef>
              <c:f>'Financial Analysis'!$A$4</c:f>
              <c:strCache>
                <c:ptCount val="1"/>
                <c:pt idx="0">
                  <c:v>  Total cost of sales</c:v>
                </c:pt>
              </c:strCache>
            </c:strRef>
          </c:tx>
          <c:spPr>
            <a:solidFill>
              <a:schemeClr val="accent3">
                <a:lumMod val="60000"/>
                <a:lumOff val="40000"/>
              </a:schemeClr>
            </a:solidFill>
            <a:ln>
              <a:noFill/>
            </a:ln>
            <a:effectLst/>
          </c:spPr>
          <c:invertIfNegative val="0"/>
          <c:cat>
            <c:numRef>
              <c:f>'Financial Analysis'!$B$1:$K$1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'Financial Analysis'!$B$4:$K$4</c:f>
              <c:numCache>
                <c:formatCode>0</c:formatCode>
                <c:ptCount val="10"/>
                <c:pt idx="0">
                  <c:v>-22143.7</c:v>
                </c:pt>
                <c:pt idx="1">
                  <c:v>-23713.1</c:v>
                </c:pt>
                <c:pt idx="2">
                  <c:v>-27048.2</c:v>
                </c:pt>
                <c:pt idx="3">
                  <c:v>-23740</c:v>
                </c:pt>
                <c:pt idx="4">
                  <c:v>-23620</c:v>
                </c:pt>
                <c:pt idx="5">
                  <c:v>-24163.26</c:v>
                </c:pt>
                <c:pt idx="6">
                  <c:v>-24719.014979999996</c:v>
                </c:pt>
                <c:pt idx="7">
                  <c:v>-25287.552324539993</c:v>
                </c:pt>
                <c:pt idx="8">
                  <c:v>-25869.166028004409</c:v>
                </c:pt>
                <c:pt idx="9">
                  <c:v>-26464.156846648508</c:v>
                </c:pt>
              </c:numCache>
            </c:numRef>
          </c:val>
          <c:extLst>
            <c:ext xmlns:c16="http://schemas.microsoft.com/office/drawing/2014/chart" uri="{C3380CC4-5D6E-409C-BE32-E72D297353CC}">
              <c16:uniqueId val="{00000002-EA4A-4C29-A874-A936B2D8DE58}"/>
            </c:ext>
          </c:extLst>
        </c:ser>
        <c:dLbls>
          <c:showLegendKey val="0"/>
          <c:showVal val="0"/>
          <c:showCatName val="0"/>
          <c:showSerName val="0"/>
          <c:showPercent val="0"/>
          <c:showBubbleSize val="0"/>
        </c:dLbls>
        <c:gapWidth val="219"/>
        <c:overlap val="-27"/>
        <c:axId val="1511834096"/>
        <c:axId val="1511833616"/>
      </c:barChart>
      <c:lineChart>
        <c:grouping val="standard"/>
        <c:varyColors val="0"/>
        <c:ser>
          <c:idx val="3"/>
          <c:order val="3"/>
          <c:tx>
            <c:strRef>
              <c:f>'Financial Analysis'!$A$6</c:f>
              <c:strCache>
                <c:ptCount val="1"/>
                <c:pt idx="0">
                  <c:v>Gross Profit Margin</c:v>
                </c:pt>
              </c:strCache>
            </c:strRef>
          </c:tx>
          <c:spPr>
            <a:ln w="28575" cap="rnd">
              <a:solidFill>
                <a:schemeClr val="accent4"/>
              </a:solidFill>
              <a:round/>
            </a:ln>
            <a:effectLst/>
          </c:spPr>
          <c:marker>
            <c:symbol val="none"/>
          </c:marker>
          <c:cat>
            <c:numRef>
              <c:f>'Financial Analysis'!$B$1:$K$1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'Financial Analysis'!$B$6:$K$6</c:f>
              <c:numCache>
                <c:formatCode>0\.0%</c:formatCode>
                <c:ptCount val="10"/>
                <c:pt idx="0">
                  <c:v>0.28462326233527924</c:v>
                </c:pt>
                <c:pt idx="1">
                  <c:v>0.30314820637752038</c:v>
                </c:pt>
                <c:pt idx="2">
                  <c:v>0.27656364925043797</c:v>
                </c:pt>
                <c:pt idx="3">
                  <c:v>0.29121633725443363</c:v>
                </c:pt>
                <c:pt idx="4">
                  <c:v>0.31321237497092347</c:v>
                </c:pt>
                <c:pt idx="5">
                  <c:v>0.31799852727467132</c:v>
                </c:pt>
                <c:pt idx="6">
                  <c:v>0.32275132537540235</c:v>
                </c:pt>
                <c:pt idx="7">
                  <c:v>0.327471001715126</c:v>
                </c:pt>
                <c:pt idx="8">
                  <c:v>0.33215778711598715</c:v>
                </c:pt>
                <c:pt idx="9">
                  <c:v>0.33681191079155509</c:v>
                </c:pt>
              </c:numCache>
            </c:numRef>
          </c:val>
          <c:smooth val="0"/>
          <c:extLst>
            <c:ext xmlns:c16="http://schemas.microsoft.com/office/drawing/2014/chart" uri="{C3380CC4-5D6E-409C-BE32-E72D297353CC}">
              <c16:uniqueId val="{00000003-EA4A-4C29-A874-A936B2D8DE58}"/>
            </c:ext>
          </c:extLst>
        </c:ser>
        <c:dLbls>
          <c:showLegendKey val="0"/>
          <c:showVal val="0"/>
          <c:showCatName val="0"/>
          <c:showSerName val="0"/>
          <c:showPercent val="0"/>
          <c:showBubbleSize val="0"/>
        </c:dLbls>
        <c:marker val="1"/>
        <c:smooth val="0"/>
        <c:axId val="1511836976"/>
        <c:axId val="1511836496"/>
      </c:lineChart>
      <c:catAx>
        <c:axId val="151183409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33616"/>
        <c:crosses val="autoZero"/>
        <c:auto val="1"/>
        <c:lblAlgn val="ctr"/>
        <c:lblOffset val="100"/>
        <c:noMultiLvlLbl val="0"/>
      </c:catAx>
      <c:valAx>
        <c:axId val="1511833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34096"/>
        <c:crosses val="autoZero"/>
        <c:crossBetween val="between"/>
      </c:valAx>
      <c:valAx>
        <c:axId val="15118364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Gross</a:t>
                </a:r>
                <a:r>
                  <a:rPr lang="en-ZA" baseline="0"/>
                  <a:t> Profit argin(%)</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36976"/>
        <c:crosses val="max"/>
        <c:crossBetween val="between"/>
      </c:valAx>
      <c:catAx>
        <c:axId val="1511836976"/>
        <c:scaling>
          <c:orientation val="minMax"/>
        </c:scaling>
        <c:delete val="1"/>
        <c:axPos val="b"/>
        <c:numFmt formatCode="General" sourceLinked="1"/>
        <c:majorTickMark val="none"/>
        <c:minorTickMark val="none"/>
        <c:tickLblPos val="nextTo"/>
        <c:crossAx val="15118364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ZA"/>
              <a:t>Liquidity Ratios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Analysis'!$A$17</c:f>
              <c:strCache>
                <c:ptCount val="1"/>
                <c:pt idx="0">
                  <c:v>Current Ratio</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Analysis'!$B$17:$F$17</c:f>
              <c:numCache>
                <c:formatCode>0.00</c:formatCode>
                <c:ptCount val="5"/>
                <c:pt idx="0">
                  <c:v>1.8714486262450698</c:v>
                </c:pt>
                <c:pt idx="1">
                  <c:v>1.6401511585685662</c:v>
                </c:pt>
                <c:pt idx="2">
                  <c:v>1.9282650495488833</c:v>
                </c:pt>
                <c:pt idx="3">
                  <c:v>1.8319096509240247</c:v>
                </c:pt>
                <c:pt idx="4">
                  <c:v>1.5206352886621841</c:v>
                </c:pt>
              </c:numCache>
            </c:numRef>
          </c:val>
          <c:smooth val="0"/>
          <c:extLst>
            <c:ext xmlns:c16="http://schemas.microsoft.com/office/drawing/2014/chart" uri="{C3380CC4-5D6E-409C-BE32-E72D297353CC}">
              <c16:uniqueId val="{00000000-7FCE-46B1-BCBC-0975F2B316D2}"/>
            </c:ext>
          </c:extLst>
        </c:ser>
        <c:ser>
          <c:idx val="1"/>
          <c:order val="1"/>
          <c:tx>
            <c:strRef>
              <c:f>'Financial Analysis'!$A$18</c:f>
              <c:strCache>
                <c:ptCount val="1"/>
                <c:pt idx="0">
                  <c:v>Quick Ratio</c:v>
                </c:pt>
              </c:strCache>
            </c:strRef>
          </c:tx>
          <c:spPr>
            <a:ln w="22225" cap="rnd" cmpd="sng" algn="ctr">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Analysis'!$B$18:$F$18</c:f>
              <c:numCache>
                <c:formatCode>0.00</c:formatCode>
                <c:ptCount val="5"/>
                <c:pt idx="0">
                  <c:v>0.91197606791897845</c:v>
                </c:pt>
                <c:pt idx="1">
                  <c:v>0.68204252343361271</c:v>
                </c:pt>
                <c:pt idx="2">
                  <c:v>0.81842922644579197</c:v>
                </c:pt>
                <c:pt idx="3">
                  <c:v>0.8213689253935661</c:v>
                </c:pt>
                <c:pt idx="4">
                  <c:v>1.0486900069557152</c:v>
                </c:pt>
              </c:numCache>
            </c:numRef>
          </c:val>
          <c:smooth val="0"/>
          <c:extLst>
            <c:ext xmlns:c16="http://schemas.microsoft.com/office/drawing/2014/chart" uri="{C3380CC4-5D6E-409C-BE32-E72D297353CC}">
              <c16:uniqueId val="{00000001-7FCE-46B1-BCBC-0975F2B316D2}"/>
            </c:ext>
          </c:extLst>
        </c:ser>
        <c:ser>
          <c:idx val="2"/>
          <c:order val="2"/>
          <c:tx>
            <c:strRef>
              <c:f>'Financial Analysis'!$A$19</c:f>
              <c:strCache>
                <c:ptCount val="1"/>
                <c:pt idx="0">
                  <c:v>Cash Ratio</c:v>
                </c:pt>
              </c:strCache>
            </c:strRef>
          </c:tx>
          <c:spPr>
            <a:ln w="22225" cap="rnd" cmpd="sng" algn="ctr">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Analysis'!$B$19:$F$19</c:f>
              <c:numCache>
                <c:formatCode>0.00</c:formatCode>
                <c:ptCount val="5"/>
                <c:pt idx="0">
                  <c:v>0.36128751921919916</c:v>
                </c:pt>
                <c:pt idx="1">
                  <c:v>0.15006925859680739</c:v>
                </c:pt>
                <c:pt idx="2">
                  <c:v>0.13001035349800324</c:v>
                </c:pt>
                <c:pt idx="3">
                  <c:v>0.22669404517453798</c:v>
                </c:pt>
                <c:pt idx="4">
                  <c:v>0.56225365175052167</c:v>
                </c:pt>
              </c:numCache>
            </c:numRef>
          </c:val>
          <c:smooth val="0"/>
          <c:extLst>
            <c:ext xmlns:c16="http://schemas.microsoft.com/office/drawing/2014/chart" uri="{C3380CC4-5D6E-409C-BE32-E72D297353CC}">
              <c16:uniqueId val="{00000002-7FCE-46B1-BCBC-0975F2B316D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46088704"/>
        <c:axId val="1546081504"/>
      </c:lineChart>
      <c:catAx>
        <c:axId val="154608870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ZA"/>
                  <a:t>years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6081504"/>
        <c:crosses val="autoZero"/>
        <c:auto val="1"/>
        <c:lblAlgn val="ctr"/>
        <c:lblOffset val="100"/>
        <c:noMultiLvlLbl val="0"/>
      </c:catAx>
      <c:valAx>
        <c:axId val="15460815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ZA"/>
                  <a:t>%</a:t>
                </a:r>
              </a:p>
            </c:rich>
          </c:tx>
          <c:layout>
            <c:manualLayout>
              <c:xMode val="edge"/>
              <c:yMode val="edge"/>
              <c:x val="2.4740157508203922E-2"/>
              <c:y val="0.3943308316891065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608870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Efficiency Metrics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'Financial Analysis'!$A$23</c:f>
              <c:strCache>
                <c:ptCount val="1"/>
                <c:pt idx="0">
                  <c:v>Days Inventory out standing</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Analysis'!$B$23:$F$23</c:f>
              <c:numCache>
                <c:formatCode>0</c:formatCode>
                <c:ptCount val="5"/>
                <c:pt idx="1">
                  <c:v>99.015048643998483</c:v>
                </c:pt>
                <c:pt idx="2">
                  <c:v>98.698249791113639</c:v>
                </c:pt>
                <c:pt idx="3">
                  <c:v>114.74668281381634</c:v>
                </c:pt>
                <c:pt idx="4">
                  <c:v>104.03658975444539</c:v>
                </c:pt>
              </c:numCache>
            </c:numRef>
          </c:val>
          <c:smooth val="0"/>
          <c:extLst>
            <c:ext xmlns:c16="http://schemas.microsoft.com/office/drawing/2014/chart" uri="{C3380CC4-5D6E-409C-BE32-E72D297353CC}">
              <c16:uniqueId val="{00000000-1B3E-434B-84F7-2FA2528F4C96}"/>
            </c:ext>
          </c:extLst>
        </c:ser>
        <c:ser>
          <c:idx val="1"/>
          <c:order val="1"/>
          <c:tx>
            <c:strRef>
              <c:f>'Financial Analysis'!$A$24</c:f>
              <c:strCache>
                <c:ptCount val="1"/>
                <c:pt idx="0">
                  <c:v>Days Sales Outstanding</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Analysis'!$B$24:$F$24</c:f>
              <c:numCache>
                <c:formatCode>0</c:formatCode>
                <c:ptCount val="5"/>
                <c:pt idx="0">
                  <c:v>38.854926196698955</c:v>
                </c:pt>
                <c:pt idx="1">
                  <c:v>42.428465216330821</c:v>
                </c:pt>
                <c:pt idx="2">
                  <c:v>45.219251909009458</c:v>
                </c:pt>
                <c:pt idx="3">
                  <c:v>46.608497044246732</c:v>
                </c:pt>
                <c:pt idx="4">
                  <c:v>44.25593161200279</c:v>
                </c:pt>
              </c:numCache>
            </c:numRef>
          </c:val>
          <c:smooth val="0"/>
          <c:extLst>
            <c:ext xmlns:c16="http://schemas.microsoft.com/office/drawing/2014/chart" uri="{C3380CC4-5D6E-409C-BE32-E72D297353CC}">
              <c16:uniqueId val="{00000001-1B3E-434B-84F7-2FA2528F4C96}"/>
            </c:ext>
          </c:extLst>
        </c:ser>
        <c:ser>
          <c:idx val="2"/>
          <c:order val="2"/>
          <c:tx>
            <c:strRef>
              <c:f>'Financial Analysis'!$A$25</c:f>
              <c:strCache>
                <c:ptCount val="1"/>
                <c:pt idx="0">
                  <c:v>Days Payable Outstanding</c:v>
                </c:pt>
              </c:strCache>
            </c:strRef>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Analysis'!$B$25:$F$25</c:f>
              <c:numCache>
                <c:formatCode>0</c:formatCode>
                <c:ptCount val="5"/>
                <c:pt idx="1">
                  <c:v>83.189418507069945</c:v>
                </c:pt>
                <c:pt idx="2">
                  <c:v>67.814226085284787</c:v>
                </c:pt>
                <c:pt idx="3">
                  <c:v>71.131950294860999</c:v>
                </c:pt>
                <c:pt idx="4">
                  <c:v>86.328217612193058</c:v>
                </c:pt>
              </c:numCache>
            </c:numRef>
          </c:val>
          <c:smooth val="0"/>
          <c:extLst>
            <c:ext xmlns:c16="http://schemas.microsoft.com/office/drawing/2014/chart" uri="{C3380CC4-5D6E-409C-BE32-E72D297353CC}">
              <c16:uniqueId val="{00000002-1B3E-434B-84F7-2FA2528F4C96}"/>
            </c:ext>
          </c:extLst>
        </c:ser>
        <c:ser>
          <c:idx val="3"/>
          <c:order val="3"/>
          <c:tx>
            <c:strRef>
              <c:f>'Financial Analysis'!$A$26</c:f>
              <c:strCache>
                <c:ptCount val="1"/>
                <c:pt idx="0">
                  <c:v>Cash Conversion Cycle</c:v>
                </c:pt>
              </c:strCache>
            </c:strRef>
          </c:tx>
          <c:spPr>
            <a:ln w="31750"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Analysis'!$B$26:$F$26</c:f>
              <c:numCache>
                <c:formatCode>0</c:formatCode>
                <c:ptCount val="5"/>
                <c:pt idx="1">
                  <c:v>58.254095353259345</c:v>
                </c:pt>
                <c:pt idx="2">
                  <c:v>76.10327561483831</c:v>
                </c:pt>
                <c:pt idx="3">
                  <c:v>90.223229563202082</c:v>
                </c:pt>
                <c:pt idx="4">
                  <c:v>61.964303754255113</c:v>
                </c:pt>
              </c:numCache>
            </c:numRef>
          </c:val>
          <c:smooth val="0"/>
          <c:extLst>
            <c:ext xmlns:c16="http://schemas.microsoft.com/office/drawing/2014/chart" uri="{C3380CC4-5D6E-409C-BE32-E72D297353CC}">
              <c16:uniqueId val="{00000003-1B3E-434B-84F7-2FA2528F4C96}"/>
            </c:ext>
          </c:extLst>
        </c:ser>
        <c:dLbls>
          <c:dLblPos val="ctr"/>
          <c:showLegendKey val="0"/>
          <c:showVal val="1"/>
          <c:showCatName val="0"/>
          <c:showSerName val="0"/>
          <c:showPercent val="0"/>
          <c:showBubbleSize val="0"/>
        </c:dLbls>
        <c:smooth val="0"/>
        <c:axId val="1498709744"/>
        <c:axId val="1498711664"/>
      </c:lineChart>
      <c:catAx>
        <c:axId val="149870974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8711664"/>
        <c:crosses val="autoZero"/>
        <c:auto val="1"/>
        <c:lblAlgn val="ctr"/>
        <c:lblOffset val="100"/>
        <c:noMultiLvlLbl val="0"/>
      </c:catAx>
      <c:valAx>
        <c:axId val="14987116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870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EBIT &amp; EPS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Analysis'!$A$41</c:f>
              <c:strCache>
                <c:ptCount val="1"/>
                <c:pt idx="0">
                  <c:v>Earning Per share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Analysis'!$B$41:$F$41</c:f>
              <c:numCache>
                <c:formatCode>General</c:formatCode>
                <c:ptCount val="5"/>
                <c:pt idx="0">
                  <c:v>1050</c:v>
                </c:pt>
                <c:pt idx="1">
                  <c:v>1738</c:v>
                </c:pt>
                <c:pt idx="2">
                  <c:v>1700</c:v>
                </c:pt>
                <c:pt idx="3">
                  <c:v>1888</c:v>
                </c:pt>
                <c:pt idx="4">
                  <c:v>2449</c:v>
                </c:pt>
              </c:numCache>
            </c:numRef>
          </c:val>
          <c:extLst>
            <c:ext xmlns:c16="http://schemas.microsoft.com/office/drawing/2014/chart" uri="{C3380CC4-5D6E-409C-BE32-E72D297353CC}">
              <c16:uniqueId val="{00000000-F30E-4BB0-8853-9DAF472A2F5A}"/>
            </c:ext>
          </c:extLst>
        </c:ser>
        <c:dLbls>
          <c:showLegendKey val="0"/>
          <c:showVal val="1"/>
          <c:showCatName val="0"/>
          <c:showSerName val="0"/>
          <c:showPercent val="0"/>
          <c:showBubbleSize val="0"/>
        </c:dLbls>
        <c:gapWidth val="219"/>
        <c:overlap val="-27"/>
        <c:axId val="1549156064"/>
        <c:axId val="1549159424"/>
      </c:barChart>
      <c:lineChart>
        <c:grouping val="standard"/>
        <c:varyColors val="0"/>
        <c:ser>
          <c:idx val="1"/>
          <c:order val="1"/>
          <c:tx>
            <c:strRef>
              <c:f>'Financial Analysis'!$A$42</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'Financial Analysis'!$B$42:$F$42</c:f>
              <c:numCache>
                <c:formatCode>0.00%</c:formatCode>
                <c:ptCount val="5"/>
                <c:pt idx="1">
                  <c:v>0.65523809523809518</c:v>
                </c:pt>
                <c:pt idx="2">
                  <c:v>-2.1864211737629424E-2</c:v>
                </c:pt>
                <c:pt idx="3">
                  <c:v>0.11058823529411765</c:v>
                </c:pt>
                <c:pt idx="4">
                  <c:v>0.29713983050847448</c:v>
                </c:pt>
              </c:numCache>
            </c:numRef>
          </c:val>
          <c:smooth val="0"/>
          <c:extLst>
            <c:ext xmlns:c16="http://schemas.microsoft.com/office/drawing/2014/chart" uri="{C3380CC4-5D6E-409C-BE32-E72D297353CC}">
              <c16:uniqueId val="{00000001-F30E-4BB0-8853-9DAF472A2F5A}"/>
            </c:ext>
          </c:extLst>
        </c:ser>
        <c:dLbls>
          <c:showLegendKey val="0"/>
          <c:showVal val="1"/>
          <c:showCatName val="0"/>
          <c:showSerName val="0"/>
          <c:showPercent val="0"/>
          <c:showBubbleSize val="0"/>
        </c:dLbls>
        <c:marker val="1"/>
        <c:smooth val="0"/>
        <c:axId val="1549157984"/>
        <c:axId val="1549162784"/>
      </c:lineChart>
      <c:catAx>
        <c:axId val="1549156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59424"/>
        <c:crosses val="autoZero"/>
        <c:auto val="1"/>
        <c:lblAlgn val="ctr"/>
        <c:lblOffset val="100"/>
        <c:noMultiLvlLbl val="0"/>
      </c:catAx>
      <c:valAx>
        <c:axId val="154915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56064"/>
        <c:crosses val="autoZero"/>
        <c:crossBetween val="between"/>
      </c:valAx>
      <c:valAx>
        <c:axId val="15491627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57984"/>
        <c:crosses val="max"/>
        <c:crossBetween val="between"/>
      </c:valAx>
      <c:catAx>
        <c:axId val="1549157984"/>
        <c:scaling>
          <c:orientation val="minMax"/>
        </c:scaling>
        <c:delete val="1"/>
        <c:axPos val="b"/>
        <c:majorTickMark val="none"/>
        <c:minorTickMark val="none"/>
        <c:tickLblPos val="nextTo"/>
        <c:crossAx val="15491627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ZA"/>
              <a:t>EPS vs Price to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'Financial Analysis'!$A$41</c:f>
              <c:strCache>
                <c:ptCount val="1"/>
                <c:pt idx="0">
                  <c:v>Earning Per share </c:v>
                </c:pt>
              </c:strCache>
            </c:strRef>
          </c:tx>
          <c:spPr>
            <a:solidFill>
              <a:schemeClr val="accent1"/>
            </a:solidFill>
            <a:ln>
              <a:noFill/>
            </a:ln>
            <a:effectLst/>
          </c:spPr>
          <c:invertIfNegative val="0"/>
          <c:cat>
            <c:numRef>
              <c:f>'Financial Analysis'!$B$1:$F$1</c:f>
              <c:numCache>
                <c:formatCode>General</c:formatCode>
                <c:ptCount val="5"/>
                <c:pt idx="0">
                  <c:v>2021</c:v>
                </c:pt>
                <c:pt idx="1">
                  <c:v>2022</c:v>
                </c:pt>
                <c:pt idx="2">
                  <c:v>2023</c:v>
                </c:pt>
                <c:pt idx="3">
                  <c:v>2024</c:v>
                </c:pt>
                <c:pt idx="4">
                  <c:v>2025</c:v>
                </c:pt>
              </c:numCache>
            </c:numRef>
          </c:cat>
          <c:val>
            <c:numRef>
              <c:f>'Financial Analysis'!$B$41:$F$41</c:f>
              <c:numCache>
                <c:formatCode>General</c:formatCode>
                <c:ptCount val="5"/>
                <c:pt idx="0">
                  <c:v>1050</c:v>
                </c:pt>
                <c:pt idx="1">
                  <c:v>1738</c:v>
                </c:pt>
                <c:pt idx="2">
                  <c:v>1700</c:v>
                </c:pt>
                <c:pt idx="3">
                  <c:v>1888</c:v>
                </c:pt>
                <c:pt idx="4">
                  <c:v>2449</c:v>
                </c:pt>
              </c:numCache>
            </c:numRef>
          </c:val>
          <c:extLst>
            <c:ext xmlns:c16="http://schemas.microsoft.com/office/drawing/2014/chart" uri="{C3380CC4-5D6E-409C-BE32-E72D297353CC}">
              <c16:uniqueId val="{00000000-C06E-41F9-9C99-84734DB90DF7}"/>
            </c:ext>
          </c:extLst>
        </c:ser>
        <c:dLbls>
          <c:showLegendKey val="0"/>
          <c:showVal val="0"/>
          <c:showCatName val="0"/>
          <c:showSerName val="0"/>
          <c:showPercent val="0"/>
          <c:showBubbleSize val="0"/>
        </c:dLbls>
        <c:gapWidth val="247"/>
        <c:overlap val="-27"/>
        <c:axId val="1548132720"/>
        <c:axId val="1548124080"/>
        <c:extLst>
          <c:ext xmlns:c15="http://schemas.microsoft.com/office/drawing/2012/chart" uri="{02D57815-91ED-43cb-92C2-25804820EDAC}">
            <c15:filteredBarSeries>
              <c15:ser>
                <c:idx val="1"/>
                <c:order val="1"/>
                <c:tx>
                  <c:strRef>
                    <c:extLst>
                      <c:ext uri="{02D57815-91ED-43cb-92C2-25804820EDAC}">
                        <c15:formulaRef>
                          <c15:sqref>'Financial Analysis'!$A$52</c15:sqref>
                        </c15:formulaRef>
                      </c:ext>
                    </c:extLst>
                    <c:strCache>
                      <c:ptCount val="1"/>
                      <c:pt idx="0">
                        <c:v>Price to Book Ratio</c:v>
                      </c:pt>
                    </c:strCache>
                  </c:strRef>
                </c:tx>
                <c:spPr>
                  <a:solidFill>
                    <a:schemeClr val="accent2"/>
                  </a:solidFill>
                  <a:ln>
                    <a:noFill/>
                  </a:ln>
                  <a:effectLst/>
                </c:spPr>
                <c:invertIfNegative val="0"/>
                <c:cat>
                  <c:numRef>
                    <c:extLst>
                      <c:ext uri="{02D57815-91ED-43cb-92C2-25804820EDAC}">
                        <c15:formulaRef>
                          <c15:sqref>'Financial Analysis'!$B$1:$F$1</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ormulaRef>
                          <c15:sqref>'Financial Analysis'!$B$52:$F$52</c15:sqref>
                        </c15:formulaRef>
                      </c:ext>
                    </c:extLst>
                    <c:numCache>
                      <c:formatCode>0.0%</c:formatCode>
                      <c:ptCount val="5"/>
                      <c:pt idx="0">
                        <c:v>1.8126012049148859E-2</c:v>
                      </c:pt>
                      <c:pt idx="1">
                        <c:v>1.5738947789085082E-2</c:v>
                      </c:pt>
                      <c:pt idx="2">
                        <c:v>1.23847862273401E-2</c:v>
                      </c:pt>
                      <c:pt idx="3">
                        <c:v>1.777432359120025E-2</c:v>
                      </c:pt>
                      <c:pt idx="4">
                        <c:v>2.7001067001396074E-2</c:v>
                      </c:pt>
                    </c:numCache>
                  </c:numRef>
                </c:val>
                <c:extLst>
                  <c:ext xmlns:c16="http://schemas.microsoft.com/office/drawing/2014/chart" uri="{C3380CC4-5D6E-409C-BE32-E72D297353CC}">
                    <c16:uniqueId val="{00000001-C06E-41F9-9C99-84734DB90DF7}"/>
                  </c:ext>
                </c:extLst>
              </c15:ser>
            </c15:filteredBarSeries>
          </c:ext>
        </c:extLst>
      </c:barChart>
      <c:lineChart>
        <c:grouping val="standard"/>
        <c:varyColors val="0"/>
        <c:ser>
          <c:idx val="2"/>
          <c:order val="2"/>
          <c:tx>
            <c:strRef>
              <c:f>'Financial Analysis'!$A$53</c:f>
              <c:strCache>
                <c:ptCount val="1"/>
                <c:pt idx="0">
                  <c:v>Price to Sales</c:v>
                </c:pt>
              </c:strCache>
            </c:strRef>
          </c:tx>
          <c:spPr>
            <a:ln w="22225" cap="rnd">
              <a:solidFill>
                <a:schemeClr val="accent3"/>
              </a:solidFill>
              <a:round/>
            </a:ln>
            <a:effectLst/>
          </c:spPr>
          <c:marker>
            <c:symbol val="none"/>
          </c:marker>
          <c:val>
            <c:numRef>
              <c:f>'Financial Analysis'!$B$53:$F$53</c:f>
              <c:numCache>
                <c:formatCode>0.0%</c:formatCode>
                <c:ptCount val="5"/>
                <c:pt idx="0">
                  <c:v>1.0236653759542795E-2</c:v>
                </c:pt>
                <c:pt idx="1">
                  <c:v>8.1813636615460286E-3</c:v>
                </c:pt>
                <c:pt idx="2">
                  <c:v>6.5046266842106182E-3</c:v>
                </c:pt>
                <c:pt idx="3">
                  <c:v>1.0947171935346863E-2</c:v>
                </c:pt>
                <c:pt idx="4">
                  <c:v>1.1911530992440758E-2</c:v>
                </c:pt>
              </c:numCache>
            </c:numRef>
          </c:val>
          <c:smooth val="0"/>
          <c:extLst>
            <c:ext xmlns:c16="http://schemas.microsoft.com/office/drawing/2014/chart" uri="{C3380CC4-5D6E-409C-BE32-E72D297353CC}">
              <c16:uniqueId val="{00000002-C06E-41F9-9C99-84734DB90DF7}"/>
            </c:ext>
          </c:extLst>
        </c:ser>
        <c:dLbls>
          <c:showLegendKey val="0"/>
          <c:showVal val="0"/>
          <c:showCatName val="0"/>
          <c:showSerName val="0"/>
          <c:showPercent val="0"/>
          <c:showBubbleSize val="0"/>
        </c:dLbls>
        <c:marker val="1"/>
        <c:smooth val="0"/>
        <c:axId val="1548125040"/>
        <c:axId val="1548134640"/>
      </c:lineChart>
      <c:catAx>
        <c:axId val="15481327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48124080"/>
        <c:crosses val="autoZero"/>
        <c:auto val="1"/>
        <c:lblAlgn val="ctr"/>
        <c:lblOffset val="100"/>
        <c:noMultiLvlLbl val="0"/>
      </c:catAx>
      <c:valAx>
        <c:axId val="15481240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48132720"/>
        <c:crosses val="autoZero"/>
        <c:crossBetween val="between"/>
      </c:valAx>
      <c:valAx>
        <c:axId val="1548134640"/>
        <c:scaling>
          <c:logBase val="10"/>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48125040"/>
        <c:crosses val="max"/>
        <c:crossBetween val="between"/>
      </c:valAx>
      <c:catAx>
        <c:axId val="1548125040"/>
        <c:scaling>
          <c:orientation val="minMax"/>
        </c:scaling>
        <c:delete val="1"/>
        <c:axPos val="b"/>
        <c:majorTickMark val="out"/>
        <c:minorTickMark val="none"/>
        <c:tickLblPos val="nextTo"/>
        <c:crossAx val="1548134640"/>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ZA"/>
              <a:t>EPS vs Price to Book</a:t>
            </a:r>
          </a:p>
        </c:rich>
      </c:tx>
      <c:layout>
        <c:manualLayout>
          <c:xMode val="edge"/>
          <c:yMode val="edge"/>
          <c:x val="0.30133087157208799"/>
          <c:y val="1.87353629976580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'Financial Analysis'!$A$41</c:f>
              <c:strCache>
                <c:ptCount val="1"/>
                <c:pt idx="0">
                  <c:v>Earning Per share </c:v>
                </c:pt>
              </c:strCache>
            </c:strRef>
          </c:tx>
          <c:spPr>
            <a:solidFill>
              <a:schemeClr val="accent1"/>
            </a:solidFill>
            <a:ln>
              <a:noFill/>
            </a:ln>
            <a:effectLst/>
          </c:spPr>
          <c:invertIfNegative val="0"/>
          <c:cat>
            <c:numRef>
              <c:f>'Financial Analysis'!$B$1:$F$1</c:f>
              <c:numCache>
                <c:formatCode>General</c:formatCode>
                <c:ptCount val="5"/>
                <c:pt idx="0">
                  <c:v>2021</c:v>
                </c:pt>
                <c:pt idx="1">
                  <c:v>2022</c:v>
                </c:pt>
                <c:pt idx="2">
                  <c:v>2023</c:v>
                </c:pt>
                <c:pt idx="3">
                  <c:v>2024</c:v>
                </c:pt>
                <c:pt idx="4">
                  <c:v>2025</c:v>
                </c:pt>
              </c:numCache>
            </c:numRef>
          </c:cat>
          <c:val>
            <c:numRef>
              <c:f>'Financial Analysis'!$B$41:$F$41</c:f>
              <c:numCache>
                <c:formatCode>General</c:formatCode>
                <c:ptCount val="5"/>
                <c:pt idx="0">
                  <c:v>1050</c:v>
                </c:pt>
                <c:pt idx="1">
                  <c:v>1738</c:v>
                </c:pt>
                <c:pt idx="2">
                  <c:v>1700</c:v>
                </c:pt>
                <c:pt idx="3">
                  <c:v>1888</c:v>
                </c:pt>
                <c:pt idx="4">
                  <c:v>2449</c:v>
                </c:pt>
              </c:numCache>
            </c:numRef>
          </c:val>
          <c:extLst>
            <c:ext xmlns:c16="http://schemas.microsoft.com/office/drawing/2014/chart" uri="{C3380CC4-5D6E-409C-BE32-E72D297353CC}">
              <c16:uniqueId val="{00000000-2EA5-4FC2-A80B-AF1157C79617}"/>
            </c:ext>
          </c:extLst>
        </c:ser>
        <c:dLbls>
          <c:showLegendKey val="0"/>
          <c:showVal val="0"/>
          <c:showCatName val="0"/>
          <c:showSerName val="0"/>
          <c:showPercent val="0"/>
          <c:showBubbleSize val="0"/>
        </c:dLbls>
        <c:gapWidth val="247"/>
        <c:overlap val="-27"/>
        <c:axId val="1537831968"/>
        <c:axId val="1537828128"/>
      </c:barChart>
      <c:lineChart>
        <c:grouping val="standard"/>
        <c:varyColors val="0"/>
        <c:ser>
          <c:idx val="1"/>
          <c:order val="1"/>
          <c:tx>
            <c:strRef>
              <c:f>'Financial Analysis'!$A$52</c:f>
              <c:strCache>
                <c:ptCount val="1"/>
                <c:pt idx="0">
                  <c:v>Price to Book Ratio</c:v>
                </c:pt>
              </c:strCache>
            </c:strRef>
          </c:tx>
          <c:spPr>
            <a:ln w="22225" cap="rnd">
              <a:solidFill>
                <a:schemeClr val="accent2"/>
              </a:solidFill>
              <a:round/>
            </a:ln>
            <a:effectLst/>
          </c:spPr>
          <c:marker>
            <c:symbol val="none"/>
          </c:marker>
          <c:val>
            <c:numRef>
              <c:f>'Financial Analysis'!$B$52:$F$52</c:f>
              <c:numCache>
                <c:formatCode>0.0%</c:formatCode>
                <c:ptCount val="5"/>
                <c:pt idx="0">
                  <c:v>1.8126012049148859E-2</c:v>
                </c:pt>
                <c:pt idx="1">
                  <c:v>1.5738947789085082E-2</c:v>
                </c:pt>
                <c:pt idx="2">
                  <c:v>1.23847862273401E-2</c:v>
                </c:pt>
                <c:pt idx="3">
                  <c:v>1.777432359120025E-2</c:v>
                </c:pt>
                <c:pt idx="4">
                  <c:v>2.7001067001396074E-2</c:v>
                </c:pt>
              </c:numCache>
            </c:numRef>
          </c:val>
          <c:smooth val="0"/>
          <c:extLst>
            <c:ext xmlns:c16="http://schemas.microsoft.com/office/drawing/2014/chart" uri="{C3380CC4-5D6E-409C-BE32-E72D297353CC}">
              <c16:uniqueId val="{00000001-2EA5-4FC2-A80B-AF1157C79617}"/>
            </c:ext>
          </c:extLst>
        </c:ser>
        <c:dLbls>
          <c:showLegendKey val="0"/>
          <c:showVal val="0"/>
          <c:showCatName val="0"/>
          <c:showSerName val="0"/>
          <c:showPercent val="0"/>
          <c:showBubbleSize val="0"/>
        </c:dLbls>
        <c:marker val="1"/>
        <c:smooth val="0"/>
        <c:axId val="1537832928"/>
        <c:axId val="1537840128"/>
      </c:lineChart>
      <c:catAx>
        <c:axId val="153783196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37828128"/>
        <c:crosses val="autoZero"/>
        <c:auto val="1"/>
        <c:lblAlgn val="ctr"/>
        <c:lblOffset val="100"/>
        <c:noMultiLvlLbl val="0"/>
      </c:catAx>
      <c:valAx>
        <c:axId val="1537828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37831968"/>
        <c:crosses val="autoZero"/>
        <c:crossBetween val="between"/>
      </c:valAx>
      <c:valAx>
        <c:axId val="153784012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37832928"/>
        <c:crosses val="max"/>
        <c:crossBetween val="between"/>
      </c:valAx>
      <c:catAx>
        <c:axId val="1537832928"/>
        <c:scaling>
          <c:orientation val="minMax"/>
        </c:scaling>
        <c:delete val="1"/>
        <c:axPos val="b"/>
        <c:majorTickMark val="out"/>
        <c:minorTickMark val="none"/>
        <c:tickLblPos val="nextTo"/>
        <c:crossAx val="1537840128"/>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Analysis'!$A$55</c:f>
              <c:strCache>
                <c:ptCount val="1"/>
                <c:pt idx="0">
                  <c:v>Dividend Yield(%)</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Analysis'!$B$55:$F$55</c:f>
              <c:numCache>
                <c:formatCode>0.00</c:formatCode>
                <c:ptCount val="5"/>
                <c:pt idx="0">
                  <c:v>1.5815023474178402</c:v>
                </c:pt>
                <c:pt idx="1">
                  <c:v>0.78683314415437011</c:v>
                </c:pt>
                <c:pt idx="2">
                  <c:v>0.90655072463768116</c:v>
                </c:pt>
                <c:pt idx="3">
                  <c:v>0.85741901776384533</c:v>
                </c:pt>
                <c:pt idx="4">
                  <c:v>1.4294923448831587</c:v>
                </c:pt>
              </c:numCache>
            </c:numRef>
          </c:val>
          <c:smooth val="0"/>
          <c:extLst>
            <c:ext xmlns:c16="http://schemas.microsoft.com/office/drawing/2014/chart" uri="{C3380CC4-5D6E-409C-BE32-E72D297353CC}">
              <c16:uniqueId val="{00000000-D114-472B-A2EE-71432133D5C4}"/>
            </c:ext>
          </c:extLst>
        </c:ser>
        <c:dLbls>
          <c:dLblPos val="ctr"/>
          <c:showLegendKey val="0"/>
          <c:showVal val="1"/>
          <c:showCatName val="0"/>
          <c:showSerName val="0"/>
          <c:showPercent val="0"/>
          <c:showBubbleSize val="0"/>
        </c:dLbls>
        <c:marker val="1"/>
        <c:smooth val="0"/>
        <c:axId val="1548069328"/>
        <c:axId val="1548059728"/>
      </c:lineChart>
      <c:catAx>
        <c:axId val="15480693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8059728"/>
        <c:crosses val="autoZero"/>
        <c:auto val="1"/>
        <c:lblAlgn val="ctr"/>
        <c:lblOffset val="100"/>
        <c:noMultiLvlLbl val="0"/>
      </c:catAx>
      <c:valAx>
        <c:axId val="1548059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5480693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Interest Coverage vs Debt-To-Assts FY2021-FY2025</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1"/>
          <c:order val="1"/>
          <c:tx>
            <c:strRef>
              <c:f>'Financial Analysis'!$A$34</c:f>
              <c:strCache>
                <c:ptCount val="1"/>
                <c:pt idx="0">
                  <c:v>Interest Coverage Ratio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Analysis'!$B$34:$F$34</c:f>
              <c:numCache>
                <c:formatCode>0.00</c:formatCode>
                <c:ptCount val="5"/>
                <c:pt idx="0">
                  <c:v>36.5140350877193</c:v>
                </c:pt>
                <c:pt idx="1">
                  <c:v>38.325476992143663</c:v>
                </c:pt>
                <c:pt idx="2">
                  <c:v>11.478163493840986</c:v>
                </c:pt>
                <c:pt idx="3">
                  <c:v>9.1909385113268609</c:v>
                </c:pt>
                <c:pt idx="4">
                  <c:v>52.944444444444443</c:v>
                </c:pt>
              </c:numCache>
            </c:numRef>
          </c:val>
          <c:extLst>
            <c:ext xmlns:c16="http://schemas.microsoft.com/office/drawing/2014/chart" uri="{C3380CC4-5D6E-409C-BE32-E72D297353CC}">
              <c16:uniqueId val="{00000001-F4C3-4282-90F7-347AF7696691}"/>
            </c:ext>
          </c:extLst>
        </c:ser>
        <c:dLbls>
          <c:showLegendKey val="0"/>
          <c:showVal val="0"/>
          <c:showCatName val="0"/>
          <c:showSerName val="0"/>
          <c:showPercent val="0"/>
          <c:showBubbleSize val="0"/>
        </c:dLbls>
        <c:gapWidth val="269"/>
        <c:axId val="1933355392"/>
        <c:axId val="1933347232"/>
      </c:barChart>
      <c:lineChart>
        <c:grouping val="stacked"/>
        <c:varyColors val="0"/>
        <c:ser>
          <c:idx val="0"/>
          <c:order val="0"/>
          <c:tx>
            <c:strRef>
              <c:f>'Financial Analysis'!$A$33</c:f>
              <c:strCache>
                <c:ptCount val="1"/>
                <c:pt idx="0">
                  <c:v>Debt to Assts Ratio</c:v>
                </c:pt>
              </c:strCache>
            </c:strRef>
          </c:tx>
          <c:spPr>
            <a:ln w="381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Analysis'!$B$33:$F$33</c:f>
              <c:numCache>
                <c:formatCode>0.0%</c:formatCode>
                <c:ptCount val="5"/>
                <c:pt idx="0">
                  <c:v>2.4783423546218267E-2</c:v>
                </c:pt>
                <c:pt idx="1">
                  <c:v>6.2037944611499675E-2</c:v>
                </c:pt>
                <c:pt idx="2">
                  <c:v>8.054989425110555E-2</c:v>
                </c:pt>
                <c:pt idx="3">
                  <c:v>4.6655147804529916E-2</c:v>
                </c:pt>
                <c:pt idx="4">
                  <c:v>1.3244296048970506E-2</c:v>
                </c:pt>
              </c:numCache>
            </c:numRef>
          </c:val>
          <c:smooth val="0"/>
          <c:extLst>
            <c:ext xmlns:c16="http://schemas.microsoft.com/office/drawing/2014/chart" uri="{C3380CC4-5D6E-409C-BE32-E72D297353CC}">
              <c16:uniqueId val="{00000000-F4C3-4282-90F7-347AF7696691}"/>
            </c:ext>
          </c:extLst>
        </c:ser>
        <c:dLbls>
          <c:showLegendKey val="0"/>
          <c:showVal val="0"/>
          <c:showCatName val="0"/>
          <c:showSerName val="0"/>
          <c:showPercent val="0"/>
          <c:showBubbleSize val="0"/>
        </c:dLbls>
        <c:marker val="1"/>
        <c:smooth val="0"/>
        <c:axId val="1933348192"/>
        <c:axId val="1933347712"/>
      </c:lineChart>
      <c:catAx>
        <c:axId val="1933355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33347232"/>
        <c:crosses val="autoZero"/>
        <c:auto val="1"/>
        <c:lblAlgn val="ctr"/>
        <c:lblOffset val="100"/>
        <c:noMultiLvlLbl val="0"/>
      </c:catAx>
      <c:valAx>
        <c:axId val="19333472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Interest</a:t>
                </a:r>
                <a:r>
                  <a:rPr lang="en-ZA" baseline="0"/>
                  <a:t> coverage</a:t>
                </a:r>
                <a:endParaRPr lang="en-ZA"/>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55392"/>
        <c:crosses val="autoZero"/>
        <c:crossBetween val="between"/>
      </c:valAx>
      <c:valAx>
        <c:axId val="1933347712"/>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48192"/>
        <c:crosses val="max"/>
        <c:crossBetween val="between"/>
      </c:valAx>
      <c:catAx>
        <c:axId val="1933348192"/>
        <c:scaling>
          <c:orientation val="minMax"/>
        </c:scaling>
        <c:delete val="1"/>
        <c:axPos val="b"/>
        <c:numFmt formatCode="General" sourceLinked="1"/>
        <c:majorTickMark val="out"/>
        <c:minorTickMark val="none"/>
        <c:tickLblPos val="nextTo"/>
        <c:crossAx val="19333477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Analysis'!$A$57</c:f>
              <c:strCache>
                <c:ptCount val="1"/>
                <c:pt idx="0">
                  <c:v>Dividend Cover Ratio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Analysis'!$B$57:$F$57</c:f>
              <c:numCache>
                <c:formatCode>0.00</c:formatCode>
                <c:ptCount val="5"/>
                <c:pt idx="0">
                  <c:v>1.0697619188980585</c:v>
                </c:pt>
                <c:pt idx="1">
                  <c:v>2.0882140796306978</c:v>
                </c:pt>
                <c:pt idx="2">
                  <c:v>1.7482414631026986</c:v>
                </c:pt>
                <c:pt idx="3">
                  <c:v>1.6866735726037414</c:v>
                </c:pt>
                <c:pt idx="4">
                  <c:v>1.1538895152198421</c:v>
                </c:pt>
              </c:numCache>
            </c:numRef>
          </c:val>
          <c:smooth val="0"/>
          <c:extLst>
            <c:ext xmlns:c16="http://schemas.microsoft.com/office/drawing/2014/chart" uri="{C3380CC4-5D6E-409C-BE32-E72D297353CC}">
              <c16:uniqueId val="{00000000-42A3-48B7-8D0E-63942F6B547B}"/>
            </c:ext>
          </c:extLst>
        </c:ser>
        <c:dLbls>
          <c:dLblPos val="ctr"/>
          <c:showLegendKey val="0"/>
          <c:showVal val="1"/>
          <c:showCatName val="0"/>
          <c:showSerName val="0"/>
          <c:showPercent val="0"/>
          <c:showBubbleSize val="0"/>
        </c:dLbls>
        <c:marker val="1"/>
        <c:smooth val="0"/>
        <c:axId val="112216480"/>
        <c:axId val="112212640"/>
      </c:lineChart>
      <c:catAx>
        <c:axId val="112216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212640"/>
        <c:crosses val="autoZero"/>
        <c:auto val="1"/>
        <c:lblAlgn val="ctr"/>
        <c:lblOffset val="100"/>
        <c:noMultiLvlLbl val="0"/>
      </c:catAx>
      <c:valAx>
        <c:axId val="112212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1221648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Revanue &amp; EBIT TrenD (FY2021A-2025A | FY2026E-2030E)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'Financial Analysis'!$A$2</c:f>
              <c:strCache>
                <c:ptCount val="1"/>
                <c:pt idx="0">
                  <c:v>  Total revenue</c:v>
                </c:pt>
              </c:strCache>
            </c:strRef>
          </c:tx>
          <c:spPr>
            <a:solidFill>
              <a:schemeClr val="accent1"/>
            </a:solidFill>
            <a:ln>
              <a:noFill/>
            </a:ln>
            <a:effectLst/>
          </c:spPr>
          <c:invertIfNegative val="0"/>
          <c:cat>
            <c:numRef>
              <c:f>'Financial Analysis'!$B$1:$K$1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'Financial Analysis'!$B$2:$K$2</c:f>
              <c:numCache>
                <c:formatCode>0</c:formatCode>
                <c:ptCount val="10"/>
                <c:pt idx="0">
                  <c:v>30953.9</c:v>
                </c:pt>
                <c:pt idx="1">
                  <c:v>34028.9</c:v>
                </c:pt>
                <c:pt idx="2">
                  <c:v>37388.5</c:v>
                </c:pt>
                <c:pt idx="3">
                  <c:v>33494</c:v>
                </c:pt>
                <c:pt idx="4">
                  <c:v>34392</c:v>
                </c:pt>
                <c:pt idx="5">
                  <c:v>35429.923491868445</c:v>
                </c:pt>
                <c:pt idx="6">
                  <c:v>36499.170697826572</c:v>
                </c:pt>
                <c:pt idx="7">
                  <c:v>37600.686942912362</c:v>
                </c:pt>
                <c:pt idx="8">
                  <c:v>38735.446081329428</c:v>
                </c:pt>
                <c:pt idx="9">
                  <c:v>39904.45135743478</c:v>
                </c:pt>
              </c:numCache>
            </c:numRef>
          </c:val>
          <c:extLst>
            <c:ext xmlns:c16="http://schemas.microsoft.com/office/drawing/2014/chart" uri="{C3380CC4-5D6E-409C-BE32-E72D297353CC}">
              <c16:uniqueId val="{00000000-4229-4B2E-8925-C21EB96D2096}"/>
            </c:ext>
          </c:extLst>
        </c:ser>
        <c:dLbls>
          <c:showLegendKey val="0"/>
          <c:showVal val="0"/>
          <c:showCatName val="0"/>
          <c:showSerName val="0"/>
          <c:showPercent val="0"/>
          <c:showBubbleSize val="0"/>
        </c:dLbls>
        <c:gapWidth val="219"/>
        <c:overlap val="100"/>
        <c:axId val="196712464"/>
        <c:axId val="196712944"/>
      </c:barChart>
      <c:lineChart>
        <c:grouping val="standard"/>
        <c:varyColors val="0"/>
        <c:ser>
          <c:idx val="1"/>
          <c:order val="1"/>
          <c:tx>
            <c:strRef>
              <c:f>'Financial Analysis'!$A$3</c:f>
              <c:strCache>
                <c:ptCount val="1"/>
                <c:pt idx="0">
                  <c:v>EBIT Growth </c:v>
                </c:pt>
              </c:strCache>
            </c:strRef>
          </c:tx>
          <c:spPr>
            <a:ln w="28575" cap="rnd">
              <a:solidFill>
                <a:schemeClr val="accent2"/>
              </a:solidFill>
              <a:round/>
            </a:ln>
            <a:effectLst/>
          </c:spPr>
          <c:marker>
            <c:symbol val="none"/>
          </c:marker>
          <c:cat>
            <c:numRef>
              <c:f>'Financial Analysis'!$B$1:$J$1</c:f>
              <c:numCache>
                <c:formatCode>General</c:formatCode>
                <c:ptCount val="9"/>
                <c:pt idx="0">
                  <c:v>2021</c:v>
                </c:pt>
                <c:pt idx="1">
                  <c:v>2022</c:v>
                </c:pt>
                <c:pt idx="2">
                  <c:v>2023</c:v>
                </c:pt>
                <c:pt idx="3">
                  <c:v>2024</c:v>
                </c:pt>
                <c:pt idx="4">
                  <c:v>2025</c:v>
                </c:pt>
                <c:pt idx="5">
                  <c:v>2026</c:v>
                </c:pt>
                <c:pt idx="6">
                  <c:v>2027</c:v>
                </c:pt>
                <c:pt idx="7">
                  <c:v>2028</c:v>
                </c:pt>
                <c:pt idx="8">
                  <c:v>2029</c:v>
                </c:pt>
              </c:numCache>
            </c:numRef>
          </c:cat>
          <c:val>
            <c:numRef>
              <c:f>'Financial Analysis'!$B$3:$K$3</c:f>
              <c:numCache>
                <c:formatCode>0</c:formatCode>
                <c:ptCount val="10"/>
                <c:pt idx="0">
                  <c:v>2081.3000000000002</c:v>
                </c:pt>
                <c:pt idx="1">
                  <c:v>3414.8</c:v>
                </c:pt>
                <c:pt idx="2">
                  <c:v>3075</c:v>
                </c:pt>
                <c:pt idx="3">
                  <c:v>2840</c:v>
                </c:pt>
                <c:pt idx="4">
                  <c:v>3812</c:v>
                </c:pt>
                <c:pt idx="5">
                  <c:v>3849.2534918684469</c:v>
                </c:pt>
                <c:pt idx="6">
                  <c:v>4028.9622678265769</c:v>
                </c:pt>
                <c:pt idx="7">
                  <c:v>4213.1374631223707</c:v>
                </c:pt>
                <c:pt idx="8">
                  <c:v>4401.7830260887713</c:v>
                </c:pt>
                <c:pt idx="9">
                  <c:v>4594.8951173243931</c:v>
                </c:pt>
              </c:numCache>
            </c:numRef>
          </c:val>
          <c:smooth val="0"/>
          <c:extLst>
            <c:ext xmlns:c16="http://schemas.microsoft.com/office/drawing/2014/chart" uri="{C3380CC4-5D6E-409C-BE32-E72D297353CC}">
              <c16:uniqueId val="{00000001-4229-4B2E-8925-C21EB96D2096}"/>
            </c:ext>
          </c:extLst>
        </c:ser>
        <c:dLbls>
          <c:showLegendKey val="0"/>
          <c:showVal val="0"/>
          <c:showCatName val="0"/>
          <c:showSerName val="0"/>
          <c:showPercent val="0"/>
          <c:showBubbleSize val="0"/>
        </c:dLbls>
        <c:marker val="1"/>
        <c:smooth val="0"/>
        <c:axId val="1934736064"/>
        <c:axId val="1934735584"/>
      </c:lineChart>
      <c:catAx>
        <c:axId val="19671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2944"/>
        <c:crosses val="autoZero"/>
        <c:auto val="1"/>
        <c:lblAlgn val="ctr"/>
        <c:lblOffset val="100"/>
        <c:noMultiLvlLbl val="0"/>
      </c:catAx>
      <c:valAx>
        <c:axId val="19671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Revanue(R,million)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2464"/>
        <c:crosses val="autoZero"/>
        <c:crossBetween val="between"/>
      </c:valAx>
      <c:valAx>
        <c:axId val="19347355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EBIT(R'million)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736064"/>
        <c:crosses val="max"/>
        <c:crossBetween val="between"/>
      </c:valAx>
      <c:catAx>
        <c:axId val="1934736064"/>
        <c:scaling>
          <c:orientation val="minMax"/>
        </c:scaling>
        <c:delete val="1"/>
        <c:axPos val="b"/>
        <c:numFmt formatCode="General" sourceLinked="1"/>
        <c:majorTickMark val="none"/>
        <c:minorTickMark val="none"/>
        <c:tickLblPos val="nextTo"/>
        <c:crossAx val="19347355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Historical</a:t>
            </a:r>
            <a:r>
              <a:rPr lang="en-ZA" baseline="0"/>
              <a:t> Free Cash Flow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Analysis'!$A$43</c:f>
              <c:strCache>
                <c:ptCount val="1"/>
                <c:pt idx="0">
                  <c:v>Free Cash Flow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Analysis'!$B$43:$F$43</c:f>
              <c:numCache>
                <c:formatCode>General</c:formatCode>
                <c:ptCount val="5"/>
                <c:pt idx="0">
                  <c:v>599.29999999999995</c:v>
                </c:pt>
                <c:pt idx="1">
                  <c:v>-357.20000000000005</c:v>
                </c:pt>
                <c:pt idx="2">
                  <c:v>-842.39999999999986</c:v>
                </c:pt>
                <c:pt idx="3">
                  <c:v>1977.9</c:v>
                </c:pt>
                <c:pt idx="4">
                  <c:v>1091</c:v>
                </c:pt>
              </c:numCache>
            </c:numRef>
          </c:val>
          <c:extLst>
            <c:ext xmlns:c16="http://schemas.microsoft.com/office/drawing/2014/chart" uri="{C3380CC4-5D6E-409C-BE32-E72D297353CC}">
              <c16:uniqueId val="{00000000-E181-47C1-BC21-8801854D3AD5}"/>
            </c:ext>
          </c:extLst>
        </c:ser>
        <c:dLbls>
          <c:dLblPos val="outEnd"/>
          <c:showLegendKey val="0"/>
          <c:showVal val="1"/>
          <c:showCatName val="0"/>
          <c:showSerName val="0"/>
          <c:showPercent val="0"/>
          <c:showBubbleSize val="0"/>
        </c:dLbls>
        <c:gapWidth val="219"/>
        <c:overlap val="-27"/>
        <c:axId val="202698608"/>
        <c:axId val="202707248"/>
      </c:barChart>
      <c:catAx>
        <c:axId val="202698608"/>
        <c:scaling>
          <c:orientation val="minMax"/>
        </c:scaling>
        <c:delete val="0"/>
        <c:axPos val="b"/>
        <c:numFmt formatCode="General" sourceLinked="1"/>
        <c:majorTickMark val="none"/>
        <c:minorTickMark val="none"/>
        <c:tickLblPos val="nextTo"/>
        <c:spPr>
          <a:solidFill>
            <a:srgbClr val="FFFF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07248"/>
        <c:crosses val="autoZero"/>
        <c:auto val="1"/>
        <c:lblAlgn val="ctr"/>
        <c:lblOffset val="100"/>
        <c:noMultiLvlLbl val="0"/>
      </c:catAx>
      <c:valAx>
        <c:axId val="20270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98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'Financial Analysis'!$A$47</c:f>
              <c:strCache>
                <c:ptCount val="1"/>
                <c:pt idx="0">
                  <c:v>Price to Earning Ratio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Analysis'!$B$47:$F$47</c:f>
              <c:numCache>
                <c:formatCode>0.00</c:formatCode>
                <c:ptCount val="5"/>
                <c:pt idx="0">
                  <c:v>17.584037558685445</c:v>
                </c:pt>
                <c:pt idx="1">
                  <c:v>9.6163450624290565</c:v>
                </c:pt>
                <c:pt idx="2">
                  <c:v>8.8956521739130423</c:v>
                </c:pt>
                <c:pt idx="3">
                  <c:v>12.173458725182863</c:v>
                </c:pt>
                <c:pt idx="4">
                  <c:v>10.637792103142626</c:v>
                </c:pt>
              </c:numCache>
            </c:numRef>
          </c:val>
          <c:smooth val="0"/>
          <c:extLst>
            <c:ext xmlns:c16="http://schemas.microsoft.com/office/drawing/2014/chart" uri="{C3380CC4-5D6E-409C-BE32-E72D297353CC}">
              <c16:uniqueId val="{00000000-0F9A-40A5-ADA8-1468EAE4F72E}"/>
            </c:ext>
          </c:extLst>
        </c:ser>
        <c:dLbls>
          <c:dLblPos val="t"/>
          <c:showLegendKey val="0"/>
          <c:showVal val="1"/>
          <c:showCatName val="0"/>
          <c:showSerName val="0"/>
          <c:showPercent val="0"/>
          <c:showBubbleSize val="0"/>
        </c:dLbls>
        <c:marker val="1"/>
        <c:smooth val="0"/>
        <c:axId val="235585616"/>
        <c:axId val="235584176"/>
      </c:lineChart>
      <c:catAx>
        <c:axId val="23558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84176"/>
        <c:crosses val="autoZero"/>
        <c:auto val="1"/>
        <c:lblAlgn val="ctr"/>
        <c:lblOffset val="100"/>
        <c:noMultiLvlLbl val="0"/>
      </c:catAx>
      <c:valAx>
        <c:axId val="23558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P/E 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85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Gross Profit Margin Expansion Trajectory FY2021-FY2025A | FY2026E-2030E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'Financial Analysis'!$A$6</c:f>
              <c:strCache>
                <c:ptCount val="1"/>
                <c:pt idx="0">
                  <c:v>Gross Profit Margin</c:v>
                </c:pt>
              </c:strCache>
            </c:strRef>
          </c:tx>
          <c:spPr>
            <a:ln w="381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'Financial Analysis'!$B$1:$K$1</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'Financial Analysis'!$B$6:$K$6</c:f>
              <c:numCache>
                <c:formatCode>0.0%</c:formatCode>
                <c:ptCount val="10"/>
                <c:pt idx="0">
                  <c:v>0.28462326233527924</c:v>
                </c:pt>
                <c:pt idx="1">
                  <c:v>0.30314820637752038</c:v>
                </c:pt>
                <c:pt idx="2">
                  <c:v>0.27656364925043797</c:v>
                </c:pt>
                <c:pt idx="3">
                  <c:v>0.29121633725443363</c:v>
                </c:pt>
                <c:pt idx="4">
                  <c:v>0.31321237497092347</c:v>
                </c:pt>
                <c:pt idx="5">
                  <c:v>0.31799852727467132</c:v>
                </c:pt>
                <c:pt idx="6">
                  <c:v>0.32275132537540235</c:v>
                </c:pt>
                <c:pt idx="7">
                  <c:v>0.327471001715126</c:v>
                </c:pt>
                <c:pt idx="8">
                  <c:v>0.33215778711598715</c:v>
                </c:pt>
                <c:pt idx="9">
                  <c:v>0.33681191079155509</c:v>
                </c:pt>
              </c:numCache>
            </c:numRef>
          </c:val>
          <c:smooth val="0"/>
          <c:extLst>
            <c:ext xmlns:c16="http://schemas.microsoft.com/office/drawing/2014/chart" uri="{C3380CC4-5D6E-409C-BE32-E72D297353CC}">
              <c16:uniqueId val="{00000000-DEEC-4A02-90D9-D7C10BE5B517}"/>
            </c:ext>
          </c:extLst>
        </c:ser>
        <c:dLbls>
          <c:dLblPos val="t"/>
          <c:showLegendKey val="0"/>
          <c:showVal val="1"/>
          <c:showCatName val="0"/>
          <c:showSerName val="0"/>
          <c:showPercent val="0"/>
          <c:showBubbleSize val="0"/>
        </c:dLbls>
        <c:smooth val="0"/>
        <c:axId val="72083072"/>
        <c:axId val="72081632"/>
      </c:lineChart>
      <c:catAx>
        <c:axId val="720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2081632"/>
        <c:crosses val="autoZero"/>
        <c:auto val="1"/>
        <c:lblAlgn val="ctr"/>
        <c:lblOffset val="100"/>
        <c:noMultiLvlLbl val="0"/>
      </c:catAx>
      <c:valAx>
        <c:axId val="720816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Gross Margn(%)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3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4"/>
          <c:tx>
            <c:strRef>
              <c:f>'Financial Analysis'!$A$71</c:f>
              <c:strCache>
                <c:ptCount val="1"/>
                <c:pt idx="0">
                  <c:v>EV/EBITDA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Analysis'!$B$66:$E$66</c:f>
              <c:strCache>
                <c:ptCount val="4"/>
                <c:pt idx="0">
                  <c:v>Tiger Brand</c:v>
                </c:pt>
                <c:pt idx="1">
                  <c:v>AVI ltd</c:v>
                </c:pt>
                <c:pt idx="2">
                  <c:v>RCL Food</c:v>
                </c:pt>
                <c:pt idx="3">
                  <c:v>Premier Group</c:v>
                </c:pt>
              </c:strCache>
            </c:strRef>
          </c:cat>
          <c:val>
            <c:numRef>
              <c:f>'Financial Analysis'!$B$71:$E$71</c:f>
              <c:numCache>
                <c:formatCode>General</c:formatCode>
                <c:ptCount val="4"/>
                <c:pt idx="0">
                  <c:v>8.2100000000000009</c:v>
                </c:pt>
                <c:pt idx="1">
                  <c:v>8.2200000000000006</c:v>
                </c:pt>
                <c:pt idx="2">
                  <c:v>3.5</c:v>
                </c:pt>
                <c:pt idx="3">
                  <c:v>8.66</c:v>
                </c:pt>
              </c:numCache>
            </c:numRef>
          </c:val>
          <c:extLst>
            <c:ext xmlns:c16="http://schemas.microsoft.com/office/drawing/2014/chart" uri="{C3380CC4-5D6E-409C-BE32-E72D297353CC}">
              <c16:uniqueId val="{00000004-84F6-4B9F-9DCD-A2CD562E8AD1}"/>
            </c:ext>
          </c:extLst>
        </c:ser>
        <c:dLbls>
          <c:dLblPos val="outEnd"/>
          <c:showLegendKey val="0"/>
          <c:showVal val="1"/>
          <c:showCatName val="0"/>
          <c:showSerName val="0"/>
          <c:showPercent val="0"/>
          <c:showBubbleSize val="0"/>
        </c:dLbls>
        <c:gapWidth val="150"/>
        <c:axId val="1216672512"/>
        <c:axId val="1216681152"/>
        <c:extLst>
          <c:ext xmlns:c15="http://schemas.microsoft.com/office/drawing/2012/chart" uri="{02D57815-91ED-43cb-92C2-25804820EDAC}">
            <c15:filteredBarSeries>
              <c15:ser>
                <c:idx val="0"/>
                <c:order val="0"/>
                <c:tx>
                  <c:strRef>
                    <c:extLst>
                      <c:ext uri="{02D57815-91ED-43cb-92C2-25804820EDAC}">
                        <c15:formulaRef>
                          <c15:sqref>'Financial Analysis'!$A$67</c15:sqref>
                        </c15:formulaRef>
                      </c:ext>
                    </c:extLst>
                    <c:strCache>
                      <c:ptCount val="1"/>
                      <c:pt idx="0">
                        <c:v>Revenue (R'bn)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'Financial Analysis'!$B$66:$E$66</c15:sqref>
                        </c15:formulaRef>
                      </c:ext>
                    </c:extLst>
                    <c:strCache>
                      <c:ptCount val="4"/>
                      <c:pt idx="0">
                        <c:v>Tiger Brand</c:v>
                      </c:pt>
                      <c:pt idx="1">
                        <c:v>AVI ltd</c:v>
                      </c:pt>
                      <c:pt idx="2">
                        <c:v>RCL Food</c:v>
                      </c:pt>
                      <c:pt idx="3">
                        <c:v>Premier Group</c:v>
                      </c:pt>
                    </c:strCache>
                  </c:strRef>
                </c:cat>
                <c:val>
                  <c:numRef>
                    <c:extLst>
                      <c:ext uri="{02D57815-91ED-43cb-92C2-25804820EDAC}">
                        <c15:formulaRef>
                          <c15:sqref>'Financial Analysis'!$B$67:$E$67</c15:sqref>
                        </c15:formulaRef>
                      </c:ext>
                    </c:extLst>
                    <c:numCache>
                      <c:formatCode>General</c:formatCode>
                      <c:ptCount val="4"/>
                      <c:pt idx="0">
                        <c:v>34.4</c:v>
                      </c:pt>
                      <c:pt idx="1">
                        <c:v>16</c:v>
                      </c:pt>
                      <c:pt idx="2">
                        <c:v>26.5</c:v>
                      </c:pt>
                      <c:pt idx="3">
                        <c:v>19.899999999999999</c:v>
                      </c:pt>
                    </c:numCache>
                  </c:numRef>
                </c:val>
                <c:extLst>
                  <c:ext xmlns:c16="http://schemas.microsoft.com/office/drawing/2014/chart" uri="{C3380CC4-5D6E-409C-BE32-E72D297353CC}">
                    <c16:uniqueId val="{00000000-84F6-4B9F-9DCD-A2CD562E8AD1}"/>
                  </c:ext>
                </c:extLst>
              </c15:ser>
            </c15:filteredBarSeries>
            <c15:filteredBarSeries>
              <c15:ser>
                <c:idx val="1"/>
                <c:order val="1"/>
                <c:tx>
                  <c:strRef>
                    <c:extLst>
                      <c:ext xmlns:c15="http://schemas.microsoft.com/office/drawing/2012/chart" uri="{02D57815-91ED-43cb-92C2-25804820EDAC}">
                        <c15:formulaRef>
                          <c15:sqref>'Financial Analysis'!$A$68</c15:sqref>
                        </c15:formulaRef>
                      </c:ext>
                    </c:extLst>
                    <c:strCache>
                      <c:ptCount val="1"/>
                      <c:pt idx="0">
                        <c:v>EBIT (R'bn)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'Financial Analysis'!$B$66:$E$66</c15:sqref>
                        </c15:formulaRef>
                      </c:ext>
                    </c:extLst>
                    <c:strCache>
                      <c:ptCount val="4"/>
                      <c:pt idx="0">
                        <c:v>Tiger Brand</c:v>
                      </c:pt>
                      <c:pt idx="1">
                        <c:v>AVI ltd</c:v>
                      </c:pt>
                      <c:pt idx="2">
                        <c:v>RCL Food</c:v>
                      </c:pt>
                      <c:pt idx="3">
                        <c:v>Premier Group</c:v>
                      </c:pt>
                    </c:strCache>
                  </c:strRef>
                </c:cat>
                <c:val>
                  <c:numRef>
                    <c:extLst>
                      <c:ext xmlns:c15="http://schemas.microsoft.com/office/drawing/2012/chart" uri="{02D57815-91ED-43cb-92C2-25804820EDAC}">
                        <c15:formulaRef>
                          <c15:sqref>'Financial Analysis'!$B$68:$E$68</c15:sqref>
                        </c15:formulaRef>
                      </c:ext>
                    </c:extLst>
                    <c:numCache>
                      <c:formatCode>General</c:formatCode>
                      <c:ptCount val="4"/>
                      <c:pt idx="0" formatCode="0.0">
                        <c:v>3.8</c:v>
                      </c:pt>
                      <c:pt idx="1">
                        <c:v>3.6</c:v>
                      </c:pt>
                      <c:pt idx="2">
                        <c:v>1.8</c:v>
                      </c:pt>
                      <c:pt idx="3">
                        <c:v>1.9</c:v>
                      </c:pt>
                    </c:numCache>
                  </c:numRef>
                </c:val>
                <c:extLst>
                  <c:ext xmlns:c16="http://schemas.microsoft.com/office/drawing/2014/chart" uri="{C3380CC4-5D6E-409C-BE32-E72D297353CC}">
                    <c16:uniqueId val="{00000001-84F6-4B9F-9DCD-A2CD562E8AD1}"/>
                  </c:ext>
                </c:extLst>
              </c15:ser>
            </c15:filteredBarSeries>
            <c15:filteredBarSeries>
              <c15:ser>
                <c:idx val="2"/>
                <c:order val="2"/>
                <c:tx>
                  <c:strRef>
                    <c:extLst>
                      <c:ext xmlns:c15="http://schemas.microsoft.com/office/drawing/2012/chart" uri="{02D57815-91ED-43cb-92C2-25804820EDAC}">
                        <c15:formulaRef>
                          <c15:sqref>'Financial Analysis'!$A$69</c15:sqref>
                        </c15:formulaRef>
                      </c:ext>
                    </c:extLst>
                    <c:strCache>
                      <c:ptCount val="1"/>
                      <c:pt idx="0">
                        <c:v>EBIT Margin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'Financial Analysis'!$B$66:$E$66</c15:sqref>
                        </c15:formulaRef>
                      </c:ext>
                    </c:extLst>
                    <c:strCache>
                      <c:ptCount val="4"/>
                      <c:pt idx="0">
                        <c:v>Tiger Brand</c:v>
                      </c:pt>
                      <c:pt idx="1">
                        <c:v>AVI ltd</c:v>
                      </c:pt>
                      <c:pt idx="2">
                        <c:v>RCL Food</c:v>
                      </c:pt>
                      <c:pt idx="3">
                        <c:v>Premier Group</c:v>
                      </c:pt>
                    </c:strCache>
                  </c:strRef>
                </c:cat>
                <c:val>
                  <c:numRef>
                    <c:extLst>
                      <c:ext xmlns:c15="http://schemas.microsoft.com/office/drawing/2012/chart" uri="{02D57815-91ED-43cb-92C2-25804820EDAC}">
                        <c15:formulaRef>
                          <c15:sqref>'Financial Analysis'!$B$69:$E$69</c15:sqref>
                        </c15:formulaRef>
                      </c:ext>
                    </c:extLst>
                    <c:numCache>
                      <c:formatCode>0.00%</c:formatCode>
                      <c:ptCount val="4"/>
                      <c:pt idx="0">
                        <c:v>0.111</c:v>
                      </c:pt>
                      <c:pt idx="1">
                        <c:v>0.222</c:v>
                      </c:pt>
                      <c:pt idx="2">
                        <c:v>7.0000000000000007E-2</c:v>
                      </c:pt>
                      <c:pt idx="3">
                        <c:v>9.6000000000000002E-2</c:v>
                      </c:pt>
                    </c:numCache>
                  </c:numRef>
                </c:val>
                <c:extLst>
                  <c:ext xmlns:c16="http://schemas.microsoft.com/office/drawing/2014/chart" uri="{C3380CC4-5D6E-409C-BE32-E72D297353CC}">
                    <c16:uniqueId val="{00000002-84F6-4B9F-9DCD-A2CD562E8AD1}"/>
                  </c:ext>
                </c:extLst>
              </c15:ser>
            </c15:filteredBarSeries>
            <c15:filteredBarSeries>
              <c15:ser>
                <c:idx val="3"/>
                <c:order val="3"/>
                <c:tx>
                  <c:strRef>
                    <c:extLst>
                      <c:ext xmlns:c15="http://schemas.microsoft.com/office/drawing/2012/chart" uri="{02D57815-91ED-43cb-92C2-25804820EDAC}">
                        <c15:formulaRef>
                          <c15:sqref>'Financial Analysis'!$A$70</c15:sqref>
                        </c15:formulaRef>
                      </c:ext>
                    </c:extLst>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'Financial Analysis'!$B$66:$E$66</c15:sqref>
                        </c15:formulaRef>
                      </c:ext>
                    </c:extLst>
                    <c:strCache>
                      <c:ptCount val="4"/>
                      <c:pt idx="0">
                        <c:v>Tiger Brand</c:v>
                      </c:pt>
                      <c:pt idx="1">
                        <c:v>AVI ltd</c:v>
                      </c:pt>
                      <c:pt idx="2">
                        <c:v>RCL Food</c:v>
                      </c:pt>
                      <c:pt idx="3">
                        <c:v>Premier Group</c:v>
                      </c:pt>
                    </c:strCache>
                  </c:strRef>
                </c:cat>
                <c:val>
                  <c:numRef>
                    <c:extLst>
                      <c:ext xmlns:c15="http://schemas.microsoft.com/office/drawing/2012/chart" uri="{02D57815-91ED-43cb-92C2-25804820EDAC}">
                        <c15:formulaRef>
                          <c15:sqref>'Financial Analysis'!$B$70:$E$70</c15:sqref>
                        </c15:formulaRef>
                      </c:ext>
                    </c:extLst>
                    <c:numCache>
                      <c:formatCode>0.00%</c:formatCode>
                      <c:ptCount val="4"/>
                    </c:numCache>
                  </c:numRef>
                </c:val>
                <c:extLst>
                  <c:ext xmlns:c16="http://schemas.microsoft.com/office/drawing/2014/chart" uri="{C3380CC4-5D6E-409C-BE32-E72D297353CC}">
                    <c16:uniqueId val="{00000003-84F6-4B9F-9DCD-A2CD562E8AD1}"/>
                  </c:ext>
                </c:extLst>
              </c15:ser>
            </c15:filteredBarSeries>
            <c15:filteredBarSeries>
              <c15:ser>
                <c:idx val="5"/>
                <c:order val="5"/>
                <c:tx>
                  <c:strRef>
                    <c:extLst>
                      <c:ext xmlns:c15="http://schemas.microsoft.com/office/drawing/2012/chart" uri="{02D57815-91ED-43cb-92C2-25804820EDAC}">
                        <c15:formulaRef>
                          <c15:sqref>'Financial Analysis'!$A$72</c15:sqref>
                        </c15:formulaRef>
                      </c:ext>
                    </c:extLst>
                    <c:strCache>
                      <c:ptCount val="1"/>
                      <c:pt idx="0">
                        <c:v>EBITDA(R'bn)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'Financial Analysis'!$B$66:$E$66</c15:sqref>
                        </c15:formulaRef>
                      </c:ext>
                    </c:extLst>
                    <c:strCache>
                      <c:ptCount val="4"/>
                      <c:pt idx="0">
                        <c:v>Tiger Brand</c:v>
                      </c:pt>
                      <c:pt idx="1">
                        <c:v>AVI ltd</c:v>
                      </c:pt>
                      <c:pt idx="2">
                        <c:v>RCL Food</c:v>
                      </c:pt>
                      <c:pt idx="3">
                        <c:v>Premier Group</c:v>
                      </c:pt>
                    </c:strCache>
                  </c:strRef>
                </c:cat>
                <c:val>
                  <c:numRef>
                    <c:extLst>
                      <c:ext xmlns:c15="http://schemas.microsoft.com/office/drawing/2012/chart" uri="{02D57815-91ED-43cb-92C2-25804820EDAC}">
                        <c15:formulaRef>
                          <c15:sqref>'Financial Analysis'!$B$72:$E$72</c15:sqref>
                        </c15:formulaRef>
                      </c:ext>
                    </c:extLst>
                    <c:numCache>
                      <c:formatCode>General</c:formatCode>
                      <c:ptCount val="4"/>
                      <c:pt idx="0">
                        <c:v>4.7699999999999996</c:v>
                      </c:pt>
                      <c:pt idx="1">
                        <c:v>2.1</c:v>
                      </c:pt>
                      <c:pt idx="2">
                        <c:v>2.4</c:v>
                      </c:pt>
                      <c:pt idx="3">
                        <c:v>2.56</c:v>
                      </c:pt>
                    </c:numCache>
                  </c:numRef>
                </c:val>
                <c:extLst>
                  <c:ext xmlns:c16="http://schemas.microsoft.com/office/drawing/2014/chart" uri="{C3380CC4-5D6E-409C-BE32-E72D297353CC}">
                    <c16:uniqueId val="{00000005-84F6-4B9F-9DCD-A2CD562E8AD1}"/>
                  </c:ext>
                </c:extLst>
              </c15:ser>
            </c15:filteredBarSeries>
          </c:ext>
        </c:extLst>
      </c:barChart>
      <c:catAx>
        <c:axId val="121667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681152"/>
        <c:crosses val="autoZero"/>
        <c:auto val="1"/>
        <c:lblAlgn val="ctr"/>
        <c:lblOffset val="100"/>
        <c:noMultiLvlLbl val="0"/>
      </c:catAx>
      <c:valAx>
        <c:axId val="121668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67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Analysis'!$A$28</c:f>
              <c:strCache>
                <c:ptCount val="1"/>
                <c:pt idx="0">
                  <c:v>EV/EBITDA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Analysis'!$B$1:$F$1</c:f>
              <c:numCache>
                <c:formatCode>General</c:formatCode>
                <c:ptCount val="5"/>
                <c:pt idx="0">
                  <c:v>2021</c:v>
                </c:pt>
                <c:pt idx="1">
                  <c:v>2022</c:v>
                </c:pt>
                <c:pt idx="2">
                  <c:v>2023</c:v>
                </c:pt>
                <c:pt idx="3">
                  <c:v>2024</c:v>
                </c:pt>
                <c:pt idx="4">
                  <c:v>2025</c:v>
                </c:pt>
              </c:numCache>
            </c:numRef>
          </c:cat>
          <c:val>
            <c:numRef>
              <c:f>'Financial Analysis'!$B$28:$F$28</c:f>
              <c:numCache>
                <c:formatCode>0.0</c:formatCode>
                <c:ptCount val="5"/>
                <c:pt idx="0">
                  <c:v>9.5</c:v>
                </c:pt>
                <c:pt idx="1">
                  <c:v>7.2</c:v>
                </c:pt>
                <c:pt idx="2">
                  <c:v>7.1</c:v>
                </c:pt>
                <c:pt idx="3">
                  <c:v>8.6</c:v>
                </c:pt>
                <c:pt idx="4">
                  <c:v>8.4</c:v>
                </c:pt>
              </c:numCache>
            </c:numRef>
          </c:val>
          <c:extLst>
            <c:ext xmlns:c16="http://schemas.microsoft.com/office/drawing/2014/chart" uri="{C3380CC4-5D6E-409C-BE32-E72D297353CC}">
              <c16:uniqueId val="{00000000-9B50-482E-8F78-BC45D93B44EE}"/>
            </c:ext>
          </c:extLst>
        </c:ser>
        <c:dLbls>
          <c:dLblPos val="outEnd"/>
          <c:showLegendKey val="0"/>
          <c:showVal val="1"/>
          <c:showCatName val="0"/>
          <c:showSerName val="0"/>
          <c:showPercent val="0"/>
          <c:showBubbleSize val="0"/>
        </c:dLbls>
        <c:gapWidth val="219"/>
        <c:overlap val="-27"/>
        <c:axId val="1216669632"/>
        <c:axId val="1216674912"/>
      </c:barChart>
      <c:catAx>
        <c:axId val="12166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674912"/>
        <c:crosses val="autoZero"/>
        <c:auto val="1"/>
        <c:lblAlgn val="ctr"/>
        <c:lblOffset val="100"/>
        <c:noMultiLvlLbl val="0"/>
      </c:catAx>
      <c:valAx>
        <c:axId val="12166749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669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revenue(R'million)</a:t>
            </a:r>
          </a:p>
        </c:rich>
      </c:tx>
      <c:layout>
        <c:manualLayout>
          <c:xMode val="edge"/>
          <c:yMode val="edge"/>
          <c:x val="0.38338896518283416"/>
          <c:y val="3.472224341498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Statemnt'!$A$6</c:f>
              <c:strCache>
                <c:ptCount val="1"/>
                <c:pt idx="0">
                  <c:v>  Total revenue</c:v>
                </c:pt>
              </c:strCache>
            </c:strRef>
          </c:tx>
          <c:spPr>
            <a:solidFill>
              <a:schemeClr val="accent1"/>
            </a:solidFill>
            <a:ln>
              <a:noFill/>
            </a:ln>
            <a:effectLst/>
          </c:spPr>
          <c:invertIfNegative val="0"/>
          <c:cat>
            <c:strRef>
              <c:f>'Income Statemnt'!$B$4:$G$4</c:f>
              <c:strCache>
                <c:ptCount val="5"/>
                <c:pt idx="0">
                  <c:v>2021</c:v>
                </c:pt>
                <c:pt idx="1">
                  <c:v>2022</c:v>
                </c:pt>
                <c:pt idx="2">
                  <c:v>2023</c:v>
                </c:pt>
                <c:pt idx="3">
                  <c:v>2024</c:v>
                </c:pt>
                <c:pt idx="4">
                  <c:v>2025</c:v>
                </c:pt>
              </c:strCache>
            </c:strRef>
          </c:cat>
          <c:val>
            <c:numRef>
              <c:f>'Income Statemnt'!$B$6:$G$6</c:f>
              <c:numCache>
                <c:formatCode>0</c:formatCode>
                <c:ptCount val="5"/>
                <c:pt idx="0">
                  <c:v>30953.9</c:v>
                </c:pt>
                <c:pt idx="1">
                  <c:v>34028.9</c:v>
                </c:pt>
                <c:pt idx="2">
                  <c:v>37388.5</c:v>
                </c:pt>
                <c:pt idx="3">
                  <c:v>33494</c:v>
                </c:pt>
                <c:pt idx="4">
                  <c:v>34392</c:v>
                </c:pt>
              </c:numCache>
            </c:numRef>
          </c:val>
          <c:extLst>
            <c:ext xmlns:c16="http://schemas.microsoft.com/office/drawing/2014/chart" uri="{C3380CC4-5D6E-409C-BE32-E72D297353CC}">
              <c16:uniqueId val="{00000000-33DA-4FA9-B149-74FD7DA8E12F}"/>
            </c:ext>
          </c:extLst>
        </c:ser>
        <c:dLbls>
          <c:showLegendKey val="0"/>
          <c:showVal val="0"/>
          <c:showCatName val="0"/>
          <c:showSerName val="0"/>
          <c:showPercent val="0"/>
          <c:showBubbleSize val="0"/>
        </c:dLbls>
        <c:gapWidth val="219"/>
        <c:overlap val="-27"/>
        <c:axId val="1909196295"/>
        <c:axId val="1909198343"/>
      </c:barChart>
      <c:catAx>
        <c:axId val="1909196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8343"/>
        <c:crosses val="autoZero"/>
        <c:auto val="1"/>
        <c:lblAlgn val="ctr"/>
        <c:lblOffset val="100"/>
        <c:noMultiLvlLbl val="0"/>
      </c:catAx>
      <c:valAx>
        <c:axId val="1909198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96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revenue(R'million)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Statemnt'!$A$6</c:f>
              <c:strCache>
                <c:ptCount val="1"/>
                <c:pt idx="0">
                  <c:v>  Total revenue</c:v>
                </c:pt>
              </c:strCache>
            </c:strRef>
          </c:tx>
          <c:spPr>
            <a:solidFill>
              <a:schemeClr val="accent1"/>
            </a:solidFill>
            <a:ln>
              <a:noFill/>
            </a:ln>
            <a:effectLst/>
          </c:spPr>
          <c:invertIfNegative val="0"/>
          <c:cat>
            <c:strRef>
              <c:f>'Income Statemnt'!$B$4:$G$4</c:f>
              <c:strCache>
                <c:ptCount val="5"/>
                <c:pt idx="0">
                  <c:v>2021</c:v>
                </c:pt>
                <c:pt idx="1">
                  <c:v>2022</c:v>
                </c:pt>
                <c:pt idx="2">
                  <c:v>2023</c:v>
                </c:pt>
                <c:pt idx="3">
                  <c:v>2024</c:v>
                </c:pt>
                <c:pt idx="4">
                  <c:v>2025</c:v>
                </c:pt>
              </c:strCache>
            </c:strRef>
          </c:cat>
          <c:val>
            <c:numRef>
              <c:f>'Income Statemnt'!$B$6:$G$6</c:f>
              <c:numCache>
                <c:formatCode>0</c:formatCode>
                <c:ptCount val="5"/>
                <c:pt idx="0">
                  <c:v>30953.9</c:v>
                </c:pt>
                <c:pt idx="1">
                  <c:v>34028.9</c:v>
                </c:pt>
                <c:pt idx="2">
                  <c:v>37388.5</c:v>
                </c:pt>
                <c:pt idx="3">
                  <c:v>33494</c:v>
                </c:pt>
                <c:pt idx="4">
                  <c:v>34392</c:v>
                </c:pt>
              </c:numCache>
            </c:numRef>
          </c:val>
          <c:extLst>
            <c:ext xmlns:c16="http://schemas.microsoft.com/office/drawing/2014/chart" uri="{C3380CC4-5D6E-409C-BE32-E72D297353CC}">
              <c16:uniqueId val="{00000000-1907-40FB-A727-D7CE48A82E7A}"/>
            </c:ext>
          </c:extLst>
        </c:ser>
        <c:dLbls>
          <c:showLegendKey val="0"/>
          <c:showVal val="0"/>
          <c:showCatName val="0"/>
          <c:showSerName val="0"/>
          <c:showPercent val="0"/>
          <c:showBubbleSize val="0"/>
        </c:dLbls>
        <c:gapWidth val="219"/>
        <c:overlap val="-27"/>
        <c:axId val="138577927"/>
        <c:axId val="138579975"/>
      </c:barChart>
      <c:catAx>
        <c:axId val="138577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9975"/>
        <c:crosses val="autoZero"/>
        <c:auto val="1"/>
        <c:lblAlgn val="ctr"/>
        <c:lblOffset val="100"/>
        <c:noMultiLvlLbl val="0"/>
      </c:catAx>
      <c:valAx>
        <c:axId val="138579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7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revenue(R'million) Forecasted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'Income Statemnt'!$A$6</c:f>
              <c:strCache>
                <c:ptCount val="1"/>
                <c:pt idx="0">
                  <c:v>  Total revenue</c:v>
                </c:pt>
              </c:strCache>
            </c:strRef>
          </c:tx>
          <c:spPr>
            <a:solidFill>
              <a:schemeClr val="accent2"/>
            </a:solidFill>
            <a:ln>
              <a:noFill/>
            </a:ln>
            <a:effectLst/>
          </c:spPr>
          <c:invertIfNegative val="0"/>
          <c:cat>
            <c:strRef>
              <c:f>'Income Statemnt'!$H$4:$L$4</c:f>
              <c:strCache>
                <c:ptCount val="5"/>
                <c:pt idx="0">
                  <c:v>2026E</c:v>
                </c:pt>
                <c:pt idx="1">
                  <c:v>2027E</c:v>
                </c:pt>
                <c:pt idx="2">
                  <c:v>2028E</c:v>
                </c:pt>
                <c:pt idx="3">
                  <c:v>2029E</c:v>
                </c:pt>
                <c:pt idx="4">
                  <c:v>2030E</c:v>
                </c:pt>
              </c:strCache>
            </c:strRef>
          </c:cat>
          <c:val>
            <c:numRef>
              <c:f>'Income Statemnt'!$H$6:$L$6</c:f>
              <c:numCache>
                <c:formatCode>0</c:formatCode>
                <c:ptCount val="5"/>
                <c:pt idx="0">
                  <c:v>35429.923491868445</c:v>
                </c:pt>
                <c:pt idx="1">
                  <c:v>36499.170697826572</c:v>
                </c:pt>
                <c:pt idx="2">
                  <c:v>37600.686942912362</c:v>
                </c:pt>
                <c:pt idx="3">
                  <c:v>38735.446081329428</c:v>
                </c:pt>
                <c:pt idx="4">
                  <c:v>39904.45135743478</c:v>
                </c:pt>
              </c:numCache>
            </c:numRef>
          </c:val>
          <c:extLst>
            <c:ext xmlns:c16="http://schemas.microsoft.com/office/drawing/2014/chart" uri="{C3380CC4-5D6E-409C-BE32-E72D297353CC}">
              <c16:uniqueId val="{00000002-46DC-450F-BF79-65C0F51848EA}"/>
            </c:ext>
          </c:extLst>
        </c:ser>
        <c:dLbls>
          <c:showLegendKey val="0"/>
          <c:showVal val="0"/>
          <c:showCatName val="0"/>
          <c:showSerName val="0"/>
          <c:showPercent val="0"/>
          <c:showBubbleSize val="0"/>
        </c:dLbls>
        <c:gapWidth val="219"/>
        <c:overlap val="-27"/>
        <c:axId val="209894407"/>
        <c:axId val="213910535"/>
      </c:barChart>
      <c:catAx>
        <c:axId val="209894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2026</a:t>
                </a:r>
              </a:p>
            </c:rich>
          </c:tx>
          <c:layout>
            <c:manualLayout>
              <c:xMode val="edge"/>
              <c:yMode val="edge"/>
              <c:x val="0.14954046369203852"/>
              <c:y val="0.755415937591134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10535"/>
        <c:crosses val="autoZero"/>
        <c:auto val="1"/>
        <c:lblAlgn val="ctr"/>
        <c:lblOffset val="100"/>
        <c:noMultiLvlLbl val="0"/>
      </c:catAx>
      <c:valAx>
        <c:axId val="213910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94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047222222222222"/>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'Income Statemnt'!$A$6</c:f>
              <c:strCache>
                <c:ptCount val="1"/>
                <c:pt idx="0">
                  <c:v>  Total revenue</c:v>
                </c:pt>
              </c:strCache>
            </c:strRef>
          </c:tx>
          <c:spPr>
            <a:solidFill>
              <a:schemeClr val="accent2"/>
            </a:solidFill>
            <a:ln>
              <a:noFill/>
            </a:ln>
            <a:effectLst/>
          </c:spPr>
          <c:invertIfNegative val="0"/>
          <c:dPt>
            <c:idx val="5"/>
            <c:invertIfNegative val="0"/>
            <c:bubble3D val="0"/>
            <c:spPr>
              <a:solidFill>
                <a:srgbClr val="4D93D9"/>
              </a:solidFill>
              <a:ln>
                <a:noFill/>
              </a:ln>
              <a:effectLst/>
            </c:spPr>
            <c:extLst>
              <c:ext xmlns:c16="http://schemas.microsoft.com/office/drawing/2014/chart" uri="{C3380CC4-5D6E-409C-BE32-E72D297353CC}">
                <c16:uniqueId val="{00000000-1E64-41C9-938D-AD1F16EE5DBD}"/>
              </c:ext>
            </c:extLst>
          </c:dPt>
          <c:dPt>
            <c:idx val="6"/>
            <c:invertIfNegative val="0"/>
            <c:bubble3D val="0"/>
            <c:spPr>
              <a:solidFill>
                <a:srgbClr val="4D93D9"/>
              </a:solidFill>
              <a:ln>
                <a:noFill/>
              </a:ln>
              <a:effectLst/>
            </c:spPr>
            <c:extLst>
              <c:ext xmlns:c16="http://schemas.microsoft.com/office/drawing/2014/chart" uri="{C3380CC4-5D6E-409C-BE32-E72D297353CC}">
                <c16:uniqueId val="{00000001-1E64-41C9-938D-AD1F16EE5DBD}"/>
              </c:ext>
            </c:extLst>
          </c:dPt>
          <c:dPt>
            <c:idx val="7"/>
            <c:invertIfNegative val="0"/>
            <c:bubble3D val="0"/>
            <c:spPr>
              <a:solidFill>
                <a:srgbClr val="4D93D9"/>
              </a:solidFill>
              <a:ln>
                <a:noFill/>
              </a:ln>
              <a:effectLst/>
            </c:spPr>
            <c:extLst>
              <c:ext xmlns:c16="http://schemas.microsoft.com/office/drawing/2014/chart" uri="{C3380CC4-5D6E-409C-BE32-E72D297353CC}">
                <c16:uniqueId val="{00000002-1E64-41C9-938D-AD1F16EE5DBD}"/>
              </c:ext>
            </c:extLst>
          </c:dPt>
          <c:dPt>
            <c:idx val="8"/>
            <c:invertIfNegative val="0"/>
            <c:bubble3D val="0"/>
            <c:spPr>
              <a:solidFill>
                <a:srgbClr val="4D93D9"/>
              </a:solidFill>
              <a:ln>
                <a:noFill/>
              </a:ln>
              <a:effectLst/>
            </c:spPr>
            <c:extLst>
              <c:ext xmlns:c16="http://schemas.microsoft.com/office/drawing/2014/chart" uri="{C3380CC4-5D6E-409C-BE32-E72D297353CC}">
                <c16:uniqueId val="{00000003-1E64-41C9-938D-AD1F16EE5DBD}"/>
              </c:ext>
            </c:extLst>
          </c:dPt>
          <c:dPt>
            <c:idx val="9"/>
            <c:invertIfNegative val="0"/>
            <c:bubble3D val="0"/>
            <c:spPr>
              <a:solidFill>
                <a:srgbClr val="4D93D9"/>
              </a:solidFill>
              <a:ln>
                <a:noFill/>
              </a:ln>
              <a:effectLst/>
            </c:spPr>
            <c:extLst>
              <c:ext xmlns:c16="http://schemas.microsoft.com/office/drawing/2014/chart" uri="{C3380CC4-5D6E-409C-BE32-E72D297353CC}">
                <c16:uniqueId val="{00000004-1E64-41C9-938D-AD1F16EE5DBD}"/>
              </c:ext>
            </c:extLst>
          </c:dPt>
          <c:cat>
            <c:strRef>
              <c:f>'Income Statemnt'!$C$4:$L$4</c:f>
              <c:strCache>
                <c:ptCount val="10"/>
                <c:pt idx="0">
                  <c:v>2021</c:v>
                </c:pt>
                <c:pt idx="1">
                  <c:v>2022</c:v>
                </c:pt>
                <c:pt idx="2">
                  <c:v>2023</c:v>
                </c:pt>
                <c:pt idx="3">
                  <c:v>2024</c:v>
                </c:pt>
                <c:pt idx="4">
                  <c:v>2025</c:v>
                </c:pt>
                <c:pt idx="5">
                  <c:v>2026E</c:v>
                </c:pt>
                <c:pt idx="6">
                  <c:v>2027E</c:v>
                </c:pt>
                <c:pt idx="7">
                  <c:v>2028E</c:v>
                </c:pt>
                <c:pt idx="8">
                  <c:v>2029E</c:v>
                </c:pt>
                <c:pt idx="9">
                  <c:v>2030E</c:v>
                </c:pt>
              </c:strCache>
            </c:strRef>
          </c:cat>
          <c:val>
            <c:numRef>
              <c:f>'Income Statemnt'!$B$6:$L$6</c:f>
              <c:numCache>
                <c:formatCode>0</c:formatCode>
                <c:ptCount val="10"/>
                <c:pt idx="0">
                  <c:v>30953.9</c:v>
                </c:pt>
                <c:pt idx="1">
                  <c:v>34028.9</c:v>
                </c:pt>
                <c:pt idx="2">
                  <c:v>37388.5</c:v>
                </c:pt>
                <c:pt idx="3">
                  <c:v>33494</c:v>
                </c:pt>
                <c:pt idx="4">
                  <c:v>34392</c:v>
                </c:pt>
                <c:pt idx="5">
                  <c:v>35429.923491868445</c:v>
                </c:pt>
                <c:pt idx="6">
                  <c:v>36499.170697826572</c:v>
                </c:pt>
                <c:pt idx="7">
                  <c:v>37600.686942912362</c:v>
                </c:pt>
                <c:pt idx="8">
                  <c:v>38735.446081329428</c:v>
                </c:pt>
                <c:pt idx="9">
                  <c:v>39904.45135743478</c:v>
                </c:pt>
              </c:numCache>
            </c:numRef>
          </c:val>
          <c:extLst>
            <c:ext xmlns:c16="http://schemas.microsoft.com/office/drawing/2014/chart" uri="{C3380CC4-5D6E-409C-BE32-E72D297353CC}">
              <c16:uniqueId val="{00000002-C2F5-44F7-A969-A556D0811F3E}"/>
            </c:ext>
          </c:extLst>
        </c:ser>
        <c:dLbls>
          <c:showLegendKey val="0"/>
          <c:showVal val="0"/>
          <c:showCatName val="0"/>
          <c:showSerName val="0"/>
          <c:showPercent val="0"/>
          <c:showBubbleSize val="0"/>
        </c:dLbls>
        <c:gapWidth val="219"/>
        <c:overlap val="-27"/>
        <c:axId val="1995813896"/>
        <c:axId val="1657353224"/>
      </c:barChart>
      <c:catAx>
        <c:axId val="1995813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53224"/>
        <c:crosses val="autoZero"/>
        <c:auto val="1"/>
        <c:lblAlgn val="ctr"/>
        <c:lblOffset val="100"/>
        <c:noMultiLvlLbl val="0"/>
      </c:catAx>
      <c:valAx>
        <c:axId val="1657353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R'million</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13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26" Type="http://schemas.openxmlformats.org/officeDocument/2006/relationships/chart" Target="../charts/chart28.xml"/><Relationship Id="rId3" Type="http://schemas.openxmlformats.org/officeDocument/2006/relationships/chart" Target="../charts/chart5.xml"/><Relationship Id="rId21" Type="http://schemas.openxmlformats.org/officeDocument/2006/relationships/chart" Target="../charts/chart23.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5" Type="http://schemas.openxmlformats.org/officeDocument/2006/relationships/chart" Target="../charts/chart27.xml"/><Relationship Id="rId2" Type="http://schemas.openxmlformats.org/officeDocument/2006/relationships/chart" Target="../charts/chart4.xml"/><Relationship Id="rId16" Type="http://schemas.openxmlformats.org/officeDocument/2006/relationships/chart" Target="../charts/chart18.xml"/><Relationship Id="rId20" Type="http://schemas.openxmlformats.org/officeDocument/2006/relationships/chart" Target="../charts/chart22.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24" Type="http://schemas.openxmlformats.org/officeDocument/2006/relationships/chart" Target="../charts/chart26.xml"/><Relationship Id="rId5" Type="http://schemas.openxmlformats.org/officeDocument/2006/relationships/chart" Target="../charts/chart7.xml"/><Relationship Id="rId15" Type="http://schemas.openxmlformats.org/officeDocument/2006/relationships/chart" Target="../charts/chart17.xml"/><Relationship Id="rId23" Type="http://schemas.openxmlformats.org/officeDocument/2006/relationships/chart" Target="../charts/chart25.xml"/><Relationship Id="rId10" Type="http://schemas.openxmlformats.org/officeDocument/2006/relationships/chart" Target="../charts/chart12.xml"/><Relationship Id="rId19" Type="http://schemas.openxmlformats.org/officeDocument/2006/relationships/chart" Target="../charts/chart21.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 Id="rId22"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0</xdr:col>
      <xdr:colOff>504825</xdr:colOff>
      <xdr:row>5</xdr:row>
      <xdr:rowOff>0</xdr:rowOff>
    </xdr:from>
    <xdr:to>
      <xdr:col>0</xdr:col>
      <xdr:colOff>504825</xdr:colOff>
      <xdr:row>5</xdr:row>
      <xdr:rowOff>0</xdr:rowOff>
    </xdr:to>
    <xdr:graphicFrame macro="">
      <xdr:nvGraphicFramePr>
        <xdr:cNvPr id="2" name="Chart 4">
          <a:extLst>
            <a:ext uri="{FF2B5EF4-FFF2-40B4-BE49-F238E27FC236}">
              <a16:creationId xmlns:a16="http://schemas.microsoft.com/office/drawing/2014/main" id="{BD820102-CAEE-4F17-B630-7A0A1DE1C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504825</xdr:colOff>
      <xdr:row>5</xdr:row>
      <xdr:rowOff>0</xdr:rowOff>
    </xdr:from>
    <xdr:to>
      <xdr:col>0</xdr:col>
      <xdr:colOff>504825</xdr:colOff>
      <xdr:row>5</xdr:row>
      <xdr:rowOff>0</xdr:rowOff>
    </xdr:to>
    <xdr:graphicFrame macro="">
      <xdr:nvGraphicFramePr>
        <xdr:cNvPr id="3" name="Chart 4">
          <a:extLst>
            <a:ext uri="{FF2B5EF4-FFF2-40B4-BE49-F238E27FC236}">
              <a16:creationId xmlns:a16="http://schemas.microsoft.com/office/drawing/2014/main" id="{FF36F7ED-3F60-44F6-97B2-35F9A4D8B8CC}"/>
            </a:ext>
            <a:ext uri="{147F2762-F138-4A5C-976F-8EAC2B608ADB}">
              <a16:predDERef xmlns:a16="http://schemas.microsoft.com/office/drawing/2014/main" pred="{BD820102-CAEE-4F17-B630-7A0A1DE1C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-3543300</xdr:colOff>
      <xdr:row>0</xdr:row>
      <xdr:rowOff>-9525</xdr:rowOff>
    </xdr:from>
    <xdr:to>
      <xdr:col>0</xdr:col>
      <xdr:colOff>-3543300</xdr:colOff>
      <xdr:row>0</xdr:row>
      <xdr:rowOff>-9525</xdr:rowOff>
    </xdr:to>
    <xdr:graphicFrame macro="">
      <xdr:nvGraphicFramePr>
        <xdr:cNvPr id="2" name="Chart 1">
          <a:extLst>
            <a:ext uri="{FF2B5EF4-FFF2-40B4-BE49-F238E27FC236}">
              <a16:creationId xmlns:a16="http://schemas.microsoft.com/office/drawing/2014/main" id="{55C8A57B-4478-4E7E-09AE-DB950F3C4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466725</xdr:colOff>
      <xdr:row>16</xdr:row>
      <xdr:rowOff>114300</xdr:rowOff>
    </xdr:from>
    <xdr:to>
      <xdr:col>23</xdr:col>
      <xdr:colOff>466725</xdr:colOff>
      <xdr:row>30</xdr:row>
      <xdr:rowOff>0</xdr:rowOff>
    </xdr:to>
    <xdr:graphicFrame macro="">
      <xdr:nvGraphicFramePr>
        <xdr:cNvPr id="10" name="Chart 9">
          <a:extLst>
            <a:ext uri="{FF2B5EF4-FFF2-40B4-BE49-F238E27FC236}">
              <a16:creationId xmlns:a16="http://schemas.microsoft.com/office/drawing/2014/main" id="{E45B5724-9E62-DE9C-CB40-81B4438570E2}"/>
            </a:ext>
            <a:ext uri="{147F2762-F138-4A5C-976F-8EAC2B608ADB}">
              <a16:predDERef xmlns:a16="http://schemas.microsoft.com/office/drawing/2014/main" pred="{6DF17ED1-2B4A-E0EA-4594-C82DB0254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425904</xdr:colOff>
      <xdr:row>31</xdr:row>
      <xdr:rowOff>44903</xdr:rowOff>
    </xdr:from>
    <xdr:to>
      <xdr:col>34</xdr:col>
      <xdr:colOff>368754</xdr:colOff>
      <xdr:row>47</xdr:row>
      <xdr:rowOff>149679</xdr:rowOff>
    </xdr:to>
    <xdr:graphicFrame macro="">
      <xdr:nvGraphicFramePr>
        <xdr:cNvPr id="15" name="Chart 14">
          <a:extLst>
            <a:ext uri="{FF2B5EF4-FFF2-40B4-BE49-F238E27FC236}">
              <a16:creationId xmlns:a16="http://schemas.microsoft.com/office/drawing/2014/main" id="{7F3A8216-DF2D-363A-8345-7297764D3AD0}"/>
            </a:ext>
            <a:ext uri="{147F2762-F138-4A5C-976F-8EAC2B608ADB}">
              <a16:predDERef xmlns:a16="http://schemas.microsoft.com/office/drawing/2014/main" pred="{5AF39434-C486-AB3F-DC7B-05C0AA127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504825</xdr:colOff>
      <xdr:row>3</xdr:row>
      <xdr:rowOff>0</xdr:rowOff>
    </xdr:from>
    <xdr:to>
      <xdr:col>0</xdr:col>
      <xdr:colOff>504825</xdr:colOff>
      <xdr:row>3</xdr:row>
      <xdr:rowOff>0</xdr:rowOff>
    </xdr:to>
    <xdr:graphicFrame macro="">
      <xdr:nvGraphicFramePr>
        <xdr:cNvPr id="3" name="Chart 2">
          <a:extLst>
            <a:ext uri="{FF2B5EF4-FFF2-40B4-BE49-F238E27FC236}">
              <a16:creationId xmlns:a16="http://schemas.microsoft.com/office/drawing/2014/main" id="{4328EE34-541D-4DF4-B524-E4E87D7DA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200025</xdr:colOff>
      <xdr:row>16</xdr:row>
      <xdr:rowOff>49212</xdr:rowOff>
    </xdr:from>
    <xdr:to>
      <xdr:col>15</xdr:col>
      <xdr:colOff>200025</xdr:colOff>
      <xdr:row>29</xdr:row>
      <xdr:rowOff>125412</xdr:rowOff>
    </xdr:to>
    <xdr:graphicFrame macro="">
      <xdr:nvGraphicFramePr>
        <xdr:cNvPr id="8" name="Chart 7">
          <a:extLst>
            <a:ext uri="{FF2B5EF4-FFF2-40B4-BE49-F238E27FC236}">
              <a16:creationId xmlns:a16="http://schemas.microsoft.com/office/drawing/2014/main" id="{A988210A-8418-0DF3-52EE-7274E2305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62593</xdr:colOff>
      <xdr:row>0</xdr:row>
      <xdr:rowOff>82323</xdr:rowOff>
    </xdr:from>
    <xdr:to>
      <xdr:col>29</xdr:col>
      <xdr:colOff>62593</xdr:colOff>
      <xdr:row>15</xdr:row>
      <xdr:rowOff>158523</xdr:rowOff>
    </xdr:to>
    <xdr:graphicFrame macro="">
      <xdr:nvGraphicFramePr>
        <xdr:cNvPr id="14" name="Chart 13">
          <a:extLst>
            <a:ext uri="{FF2B5EF4-FFF2-40B4-BE49-F238E27FC236}">
              <a16:creationId xmlns:a16="http://schemas.microsoft.com/office/drawing/2014/main" id="{E1E682B2-D200-D724-5087-78AC38C60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31</xdr:row>
      <xdr:rowOff>147637</xdr:rowOff>
    </xdr:from>
    <xdr:to>
      <xdr:col>14</xdr:col>
      <xdr:colOff>457200</xdr:colOff>
      <xdr:row>47</xdr:row>
      <xdr:rowOff>33337</xdr:rowOff>
    </xdr:to>
    <xdr:graphicFrame macro="">
      <xdr:nvGraphicFramePr>
        <xdr:cNvPr id="17" name="Chart 16">
          <a:extLst>
            <a:ext uri="{FF2B5EF4-FFF2-40B4-BE49-F238E27FC236}">
              <a16:creationId xmlns:a16="http://schemas.microsoft.com/office/drawing/2014/main" id="{5BF87445-1573-EC2B-02D0-44C6CFF7B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48988</xdr:colOff>
      <xdr:row>31</xdr:row>
      <xdr:rowOff>59871</xdr:rowOff>
    </xdr:from>
    <xdr:to>
      <xdr:col>25</xdr:col>
      <xdr:colOff>285750</xdr:colOff>
      <xdr:row>48</xdr:row>
      <xdr:rowOff>13606</xdr:rowOff>
    </xdr:to>
    <xdr:graphicFrame macro="">
      <xdr:nvGraphicFramePr>
        <xdr:cNvPr id="18" name="Chart 17">
          <a:extLst>
            <a:ext uri="{FF2B5EF4-FFF2-40B4-BE49-F238E27FC236}">
              <a16:creationId xmlns:a16="http://schemas.microsoft.com/office/drawing/2014/main" id="{72B1CE83-9516-6594-8D7A-7F02B2F87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399142</xdr:colOff>
      <xdr:row>16</xdr:row>
      <xdr:rowOff>140833</xdr:rowOff>
    </xdr:from>
    <xdr:to>
      <xdr:col>42</xdr:col>
      <xdr:colOff>63500</xdr:colOff>
      <xdr:row>30</xdr:row>
      <xdr:rowOff>158751</xdr:rowOff>
    </xdr:to>
    <xdr:graphicFrame macro="">
      <xdr:nvGraphicFramePr>
        <xdr:cNvPr id="19" name="Chart 18">
          <a:extLst>
            <a:ext uri="{FF2B5EF4-FFF2-40B4-BE49-F238E27FC236}">
              <a16:creationId xmlns:a16="http://schemas.microsoft.com/office/drawing/2014/main" id="{FADCFABA-6325-2391-DC5F-A9DA35924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457200</xdr:colOff>
      <xdr:row>48</xdr:row>
      <xdr:rowOff>87765</xdr:rowOff>
    </xdr:from>
    <xdr:to>
      <xdr:col>14</xdr:col>
      <xdr:colOff>457200</xdr:colOff>
      <xdr:row>62</xdr:row>
      <xdr:rowOff>172129</xdr:rowOff>
    </xdr:to>
    <xdr:graphicFrame macro="">
      <xdr:nvGraphicFramePr>
        <xdr:cNvPr id="22" name="Chart 21">
          <a:extLst>
            <a:ext uri="{FF2B5EF4-FFF2-40B4-BE49-F238E27FC236}">
              <a16:creationId xmlns:a16="http://schemas.microsoft.com/office/drawing/2014/main" id="{8D8E74A8-437D-C04D-5C1D-E05A82728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107496</xdr:colOff>
      <xdr:row>48</xdr:row>
      <xdr:rowOff>66674</xdr:rowOff>
    </xdr:from>
    <xdr:to>
      <xdr:col>23</xdr:col>
      <xdr:colOff>107496</xdr:colOff>
      <xdr:row>62</xdr:row>
      <xdr:rowOff>151038</xdr:rowOff>
    </xdr:to>
    <xdr:graphicFrame macro="">
      <xdr:nvGraphicFramePr>
        <xdr:cNvPr id="24" name="Chart 23">
          <a:extLst>
            <a:ext uri="{FF2B5EF4-FFF2-40B4-BE49-F238E27FC236}">
              <a16:creationId xmlns:a16="http://schemas.microsoft.com/office/drawing/2014/main" id="{72768B3D-A2D1-4657-8C5C-059A14820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90486</xdr:colOff>
      <xdr:row>0</xdr:row>
      <xdr:rowOff>0</xdr:rowOff>
    </xdr:from>
    <xdr:to>
      <xdr:col>20</xdr:col>
      <xdr:colOff>152399</xdr:colOff>
      <xdr:row>15</xdr:row>
      <xdr:rowOff>150813</xdr:rowOff>
    </xdr:to>
    <xdr:graphicFrame macro="">
      <xdr:nvGraphicFramePr>
        <xdr:cNvPr id="26" name="Chart 25">
          <a:extLst>
            <a:ext uri="{FF2B5EF4-FFF2-40B4-BE49-F238E27FC236}">
              <a16:creationId xmlns:a16="http://schemas.microsoft.com/office/drawing/2014/main" id="{BA225E58-8969-9005-8AB6-39310B9F7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216475</xdr:colOff>
      <xdr:row>63</xdr:row>
      <xdr:rowOff>82028</xdr:rowOff>
    </xdr:from>
    <xdr:to>
      <xdr:col>15</xdr:col>
      <xdr:colOff>328084</xdr:colOff>
      <xdr:row>80</xdr:row>
      <xdr:rowOff>69549</xdr:rowOff>
    </xdr:to>
    <xdr:graphicFrame macro="">
      <xdr:nvGraphicFramePr>
        <xdr:cNvPr id="27" name="Chart 26">
          <a:extLst>
            <a:ext uri="{FF2B5EF4-FFF2-40B4-BE49-F238E27FC236}">
              <a16:creationId xmlns:a16="http://schemas.microsoft.com/office/drawing/2014/main" id="{C2A377E0-734F-8155-F85A-8C8BD29E4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35</xdr:col>
      <xdr:colOff>16629</xdr:colOff>
      <xdr:row>31</xdr:row>
      <xdr:rowOff>77562</xdr:rowOff>
    </xdr:from>
    <xdr:to>
      <xdr:col>42</xdr:col>
      <xdr:colOff>539750</xdr:colOff>
      <xdr:row>47</xdr:row>
      <xdr:rowOff>0</xdr:rowOff>
    </xdr:to>
    <xdr:graphicFrame macro="">
      <xdr:nvGraphicFramePr>
        <xdr:cNvPr id="28" name="Chart 27">
          <a:extLst>
            <a:ext uri="{FF2B5EF4-FFF2-40B4-BE49-F238E27FC236}">
              <a16:creationId xmlns:a16="http://schemas.microsoft.com/office/drawing/2014/main" id="{B85A3444-4DA1-293E-3DA5-D8A9401F7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44</xdr:col>
      <xdr:colOff>72571</xdr:colOff>
      <xdr:row>50</xdr:row>
      <xdr:rowOff>156179</xdr:rowOff>
    </xdr:from>
    <xdr:to>
      <xdr:col>53</xdr:col>
      <xdr:colOff>231321</xdr:colOff>
      <xdr:row>66</xdr:row>
      <xdr:rowOff>27215</xdr:rowOff>
    </xdr:to>
    <xdr:graphicFrame macro="">
      <xdr:nvGraphicFramePr>
        <xdr:cNvPr id="29" name="Chart 28">
          <a:extLst>
            <a:ext uri="{FF2B5EF4-FFF2-40B4-BE49-F238E27FC236}">
              <a16:creationId xmlns:a16="http://schemas.microsoft.com/office/drawing/2014/main" id="{DE945CB4-8F6A-EBEF-B53F-E73DA531C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172358</xdr:colOff>
      <xdr:row>16</xdr:row>
      <xdr:rowOff>51859</xdr:rowOff>
    </xdr:from>
    <xdr:to>
      <xdr:col>32</xdr:col>
      <xdr:colOff>204108</xdr:colOff>
      <xdr:row>30</xdr:row>
      <xdr:rowOff>128059</xdr:rowOff>
    </xdr:to>
    <xdr:graphicFrame macro="">
      <xdr:nvGraphicFramePr>
        <xdr:cNvPr id="30" name="Chart 29">
          <a:extLst>
            <a:ext uri="{FF2B5EF4-FFF2-40B4-BE49-F238E27FC236}">
              <a16:creationId xmlns:a16="http://schemas.microsoft.com/office/drawing/2014/main" id="{57C1B995-EB6C-CD11-783F-61A2534AFB4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380242</xdr:colOff>
      <xdr:row>0</xdr:row>
      <xdr:rowOff>116870</xdr:rowOff>
    </xdr:from>
    <xdr:to>
      <xdr:col>38</xdr:col>
      <xdr:colOff>95249</xdr:colOff>
      <xdr:row>15</xdr:row>
      <xdr:rowOff>122464</xdr:rowOff>
    </xdr:to>
    <xdr:graphicFrame macro="">
      <xdr:nvGraphicFramePr>
        <xdr:cNvPr id="31" name="Chart 30">
          <a:extLst>
            <a:ext uri="{FF2B5EF4-FFF2-40B4-BE49-F238E27FC236}">
              <a16:creationId xmlns:a16="http://schemas.microsoft.com/office/drawing/2014/main" id="{44705A44-6AA9-6293-DFCE-679D09CDD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39</xdr:col>
      <xdr:colOff>122464</xdr:colOff>
      <xdr:row>1</xdr:row>
      <xdr:rowOff>119514</xdr:rowOff>
    </xdr:from>
    <xdr:to>
      <xdr:col>47</xdr:col>
      <xdr:colOff>154214</xdr:colOff>
      <xdr:row>15</xdr:row>
      <xdr:rowOff>176893</xdr:rowOff>
    </xdr:to>
    <xdr:graphicFrame macro="">
      <xdr:nvGraphicFramePr>
        <xdr:cNvPr id="32" name="Chart 31">
          <a:extLst>
            <a:ext uri="{FF2B5EF4-FFF2-40B4-BE49-F238E27FC236}">
              <a16:creationId xmlns:a16="http://schemas.microsoft.com/office/drawing/2014/main" id="{29A494BE-80C1-2246-3501-484D26E2A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566964</xdr:colOff>
      <xdr:row>48</xdr:row>
      <xdr:rowOff>100238</xdr:rowOff>
    </xdr:from>
    <xdr:to>
      <xdr:col>43</xdr:col>
      <xdr:colOff>172357</xdr:colOff>
      <xdr:row>64</xdr:row>
      <xdr:rowOff>72572</xdr:rowOff>
    </xdr:to>
    <xdr:graphicFrame macro="">
      <xdr:nvGraphicFramePr>
        <xdr:cNvPr id="4" name="Chart 3">
          <a:extLst>
            <a:ext uri="{FF2B5EF4-FFF2-40B4-BE49-F238E27FC236}">
              <a16:creationId xmlns:a16="http://schemas.microsoft.com/office/drawing/2014/main" id="{BE47F34C-FFF7-0502-15AD-D5060FD70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27</xdr:col>
      <xdr:colOff>131534</xdr:colOff>
      <xdr:row>66</xdr:row>
      <xdr:rowOff>100241</xdr:rowOff>
    </xdr:from>
    <xdr:to>
      <xdr:col>36</xdr:col>
      <xdr:colOff>285750</xdr:colOff>
      <xdr:row>78</xdr:row>
      <xdr:rowOff>4537</xdr:rowOff>
    </xdr:to>
    <xdr:graphicFrame macro="">
      <xdr:nvGraphicFramePr>
        <xdr:cNvPr id="5" name="Chart 4">
          <a:extLst>
            <a:ext uri="{FF2B5EF4-FFF2-40B4-BE49-F238E27FC236}">
              <a16:creationId xmlns:a16="http://schemas.microsoft.com/office/drawing/2014/main" id="{504D8FA3-CCA4-0B53-0AFA-C613015C9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44</xdr:col>
      <xdr:colOff>68035</xdr:colOff>
      <xdr:row>35</xdr:row>
      <xdr:rowOff>138792</xdr:rowOff>
    </xdr:from>
    <xdr:to>
      <xdr:col>53</xdr:col>
      <xdr:colOff>285750</xdr:colOff>
      <xdr:row>48</xdr:row>
      <xdr:rowOff>163286</xdr:rowOff>
    </xdr:to>
    <xdr:graphicFrame macro="">
      <xdr:nvGraphicFramePr>
        <xdr:cNvPr id="7" name="Chart 6">
          <a:extLst>
            <a:ext uri="{FF2B5EF4-FFF2-40B4-BE49-F238E27FC236}">
              <a16:creationId xmlns:a16="http://schemas.microsoft.com/office/drawing/2014/main" id="{3E8959DF-5A3A-2FF6-DEA2-11F270C52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107346</xdr:colOff>
      <xdr:row>65</xdr:row>
      <xdr:rowOff>82852</xdr:rowOff>
    </xdr:from>
    <xdr:to>
      <xdr:col>25</xdr:col>
      <xdr:colOff>272142</xdr:colOff>
      <xdr:row>78</xdr:row>
      <xdr:rowOff>4535</xdr:rowOff>
    </xdr:to>
    <xdr:graphicFrame macro="">
      <xdr:nvGraphicFramePr>
        <xdr:cNvPr id="9" name="Chart 8">
          <a:extLst>
            <a:ext uri="{FF2B5EF4-FFF2-40B4-BE49-F238E27FC236}">
              <a16:creationId xmlns:a16="http://schemas.microsoft.com/office/drawing/2014/main" id="{46C169DD-DAAC-A126-D680-31C7CCB74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299357</xdr:colOff>
      <xdr:row>48</xdr:row>
      <xdr:rowOff>84364</xdr:rowOff>
    </xdr:from>
    <xdr:to>
      <xdr:col>30</xdr:col>
      <xdr:colOff>299357</xdr:colOff>
      <xdr:row>62</xdr:row>
      <xdr:rowOff>176893</xdr:rowOff>
    </xdr:to>
    <xdr:graphicFrame macro="">
      <xdr:nvGraphicFramePr>
        <xdr:cNvPr id="11" name="Chart 10">
          <a:extLst>
            <a:ext uri="{FF2B5EF4-FFF2-40B4-BE49-F238E27FC236}">
              <a16:creationId xmlns:a16="http://schemas.microsoft.com/office/drawing/2014/main" id="{6463DB2B-F237-3082-0D01-7CA46D7D2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43</xdr:col>
      <xdr:colOff>208642</xdr:colOff>
      <xdr:row>17</xdr:row>
      <xdr:rowOff>166007</xdr:rowOff>
    </xdr:from>
    <xdr:to>
      <xdr:col>52</xdr:col>
      <xdr:colOff>208642</xdr:colOff>
      <xdr:row>34</xdr:row>
      <xdr:rowOff>40821</xdr:rowOff>
    </xdr:to>
    <xdr:graphicFrame macro="">
      <xdr:nvGraphicFramePr>
        <xdr:cNvPr id="12" name="Chart 11">
          <a:extLst>
            <a:ext uri="{FF2B5EF4-FFF2-40B4-BE49-F238E27FC236}">
              <a16:creationId xmlns:a16="http://schemas.microsoft.com/office/drawing/2014/main" id="{DA38D720-785D-101D-A2B2-0C8D29BCF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38</xdr:col>
      <xdr:colOff>40821</xdr:colOff>
      <xdr:row>67</xdr:row>
      <xdr:rowOff>168275</xdr:rowOff>
    </xdr:from>
    <xdr:to>
      <xdr:col>46</xdr:col>
      <xdr:colOff>426356</xdr:colOff>
      <xdr:row>82</xdr:row>
      <xdr:rowOff>53975</xdr:rowOff>
    </xdr:to>
    <xdr:graphicFrame macro="">
      <xdr:nvGraphicFramePr>
        <xdr:cNvPr id="6" name="Chart 5">
          <a:extLst>
            <a:ext uri="{FF2B5EF4-FFF2-40B4-BE49-F238E27FC236}">
              <a16:creationId xmlns:a16="http://schemas.microsoft.com/office/drawing/2014/main" id="{EA71AB38-7A50-3851-C4B6-9E9B8A52E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47</xdr:col>
      <xdr:colOff>131535</xdr:colOff>
      <xdr:row>67</xdr:row>
      <xdr:rowOff>136525</xdr:rowOff>
    </xdr:from>
    <xdr:to>
      <xdr:col>55</xdr:col>
      <xdr:colOff>489857</xdr:colOff>
      <xdr:row>82</xdr:row>
      <xdr:rowOff>22225</xdr:rowOff>
    </xdr:to>
    <xdr:graphicFrame macro="">
      <xdr:nvGraphicFramePr>
        <xdr:cNvPr id="13" name="Chart 12">
          <a:extLst>
            <a:ext uri="{FF2B5EF4-FFF2-40B4-BE49-F238E27FC236}">
              <a16:creationId xmlns:a16="http://schemas.microsoft.com/office/drawing/2014/main" id="{45286865-4395-A065-CF4B-DA408C19D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504825</xdr:colOff>
      <xdr:row>6</xdr:row>
      <xdr:rowOff>0</xdr:rowOff>
    </xdr:from>
    <xdr:to>
      <xdr:col>0</xdr:col>
      <xdr:colOff>504825</xdr:colOff>
      <xdr:row>6</xdr:row>
      <xdr:rowOff>0</xdr:rowOff>
    </xdr:to>
    <xdr:graphicFrame macro="">
      <xdr:nvGraphicFramePr>
        <xdr:cNvPr id="5" name="Chart 4">
          <a:extLst>
            <a:ext uri="{FF2B5EF4-FFF2-40B4-BE49-F238E27FC236}">
              <a16:creationId xmlns:a16="http://schemas.microsoft.com/office/drawing/2014/main" id="{FBE5D804-8336-7D98-C926-9ABC0ABE5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14</xdr:row>
      <xdr:rowOff>38100</xdr:rowOff>
    </xdr:from>
    <xdr:to>
      <xdr:col>16</xdr:col>
      <xdr:colOff>104775</xdr:colOff>
      <xdr:row>27</xdr:row>
      <xdr:rowOff>66675</xdr:rowOff>
    </xdr:to>
    <xdr:graphicFrame macro="">
      <xdr:nvGraphicFramePr>
        <xdr:cNvPr id="2" name="Chart 1">
          <a:extLst>
            <a:ext uri="{FF2B5EF4-FFF2-40B4-BE49-F238E27FC236}">
              <a16:creationId xmlns:a16="http://schemas.microsoft.com/office/drawing/2014/main" id="{FCC6D07A-A2F7-2E93-F459-C7A2397D99E5}"/>
            </a:ext>
            <a:ext uri="{147F2762-F138-4A5C-976F-8EAC2B608ADB}">
              <a16:predDERef xmlns:a16="http://schemas.microsoft.com/office/drawing/2014/main" pred="{FBE5D804-8336-7D98-C926-9ABC0ABE5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257175</xdr:colOff>
      <xdr:row>14</xdr:row>
      <xdr:rowOff>66675</xdr:rowOff>
    </xdr:from>
    <xdr:to>
      <xdr:col>22</xdr:col>
      <xdr:colOff>466725</xdr:colOff>
      <xdr:row>27</xdr:row>
      <xdr:rowOff>57150</xdr:rowOff>
    </xdr:to>
    <xdr:graphicFrame macro="">
      <xdr:nvGraphicFramePr>
        <xdr:cNvPr id="3" name="Chart 2">
          <a:extLst>
            <a:ext uri="{FF2B5EF4-FFF2-40B4-BE49-F238E27FC236}">
              <a16:creationId xmlns:a16="http://schemas.microsoft.com/office/drawing/2014/main" id="{62E5A7EB-D792-EFA1-FF2F-F304FF1C049B}"/>
            </a:ext>
            <a:ext uri="{147F2762-F138-4A5C-976F-8EAC2B608ADB}">
              <a16:predDERef xmlns:a16="http://schemas.microsoft.com/office/drawing/2014/main" pred="{FCC6D07A-A2F7-2E93-F459-C7A2397D9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1952625</xdr:colOff>
      <xdr:row>29</xdr:row>
      <xdr:rowOff>9525</xdr:rowOff>
    </xdr:from>
    <xdr:to>
      <xdr:col>21</xdr:col>
      <xdr:colOff>514350</xdr:colOff>
      <xdr:row>46</xdr:row>
      <xdr:rowOff>161925</xdr:rowOff>
    </xdr:to>
    <xdr:graphicFrame macro="">
      <xdr:nvGraphicFramePr>
        <xdr:cNvPr id="6" name="Chart 5">
          <a:extLst>
            <a:ext uri="{FF2B5EF4-FFF2-40B4-BE49-F238E27FC236}">
              <a16:creationId xmlns:a16="http://schemas.microsoft.com/office/drawing/2014/main" id="{EF19DC2D-6BAB-A394-EE4B-5472E9857190}"/>
            </a:ext>
            <a:ext uri="{147F2762-F138-4A5C-976F-8EAC2B608ADB}">
              <a16:predDERef xmlns:a16="http://schemas.microsoft.com/office/drawing/2014/main" pred="{62E5A7EB-D792-EFA1-FF2F-F304FF1C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Guest User" id="{87E2501F-6256-4809-AB9F-6751C1CA8427}" userId=""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6-05-24T13:35:14.81" personId="{87E2501F-6256-4809-AB9F-6751C1CA8427}" id="{022CD1A0-EB6C-4A07-BA29-6D0E57C6AB8B}">
    <text>South African Tax Rate</text>
  </threadedComment>
</ThreadedComments>
</file>

<file path=xl/threadedComments/threadedComment2.xml><?xml version="1.0" encoding="utf-8"?>
<ThreadedComments xmlns="http://schemas.microsoft.com/office/spreadsheetml/2018/threadedcomments" xmlns:x="http://schemas.openxmlformats.org/spreadsheetml/2006/main">
  <threadedComment ref="N10" dT="2026-05-25T11:45:49.12" personId="{87E2501F-6256-4809-AB9F-6751C1CA8427}" id="{277E3B05-418A-4BDC-B6BD-A81C944E9C41}">
    <text xml:space="preserve">Finance cost is forecasted using formula: Average Debt*Interest Rate, so here i am calculating yearly interest rate and i am using average to forecast
</text>
  </threadedComment>
  <threadedComment ref="L34" dT="2026-05-25T11:53:14.48" personId="{87E2501F-6256-4809-AB9F-6751C1CA8427}" id="{C32A607A-5304-4C54-A8A9-BADF9F71FC6A}">
    <text>This is 0 beccause: I cannot predict if a company will randomly decide to shut down another major division three years from now. Predicting a future discontinued operation is impossible and distorts my model.</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B4907-5440-4139-A1A9-B16FBCF0F710}">
  <dimension ref="B3:L18"/>
  <sheetViews>
    <sheetView workbookViewId="0">
      <selection activeCell="C8" sqref="C8"/>
    </sheetView>
  </sheetViews>
  <sheetFormatPr defaultRowHeight="15"/>
  <cols>
    <col min="2" max="2" width="36" customWidth="1"/>
  </cols>
  <sheetData>
    <row r="3" spans="2:12">
      <c r="B3" s="139" t="s">
        <v>0</v>
      </c>
      <c r="C3" s="138" t="s">
        <v>1</v>
      </c>
      <c r="D3" s="138" t="s">
        <v>1</v>
      </c>
      <c r="E3" s="138" t="s">
        <v>1</v>
      </c>
      <c r="F3" s="138" t="s">
        <v>1</v>
      </c>
      <c r="G3" s="138" t="s">
        <v>1</v>
      </c>
      <c r="H3" s="138" t="s">
        <v>1</v>
      </c>
      <c r="I3" s="138" t="s">
        <v>1</v>
      </c>
      <c r="J3" s="138" t="s">
        <v>1</v>
      </c>
      <c r="K3" s="62"/>
      <c r="L3" s="62"/>
    </row>
    <row r="4" spans="2:12">
      <c r="B4" s="140" t="s">
        <v>2</v>
      </c>
      <c r="C4" s="140">
        <v>2021</v>
      </c>
      <c r="D4" s="140">
        <v>2022</v>
      </c>
      <c r="E4" s="140">
        <v>2023</v>
      </c>
      <c r="F4" s="140">
        <v>2024</v>
      </c>
      <c r="G4" s="140">
        <v>2025</v>
      </c>
      <c r="H4" s="140">
        <v>2026</v>
      </c>
      <c r="I4" s="140">
        <v>2027</v>
      </c>
      <c r="J4" s="140">
        <v>2028</v>
      </c>
      <c r="K4" s="142">
        <v>2029</v>
      </c>
      <c r="L4" s="142">
        <v>2030</v>
      </c>
    </row>
    <row r="5" spans="2:12">
      <c r="B5" s="44" t="s">
        <v>3</v>
      </c>
      <c r="C5" s="54">
        <f>C8+C6-C7</f>
        <v>5365</v>
      </c>
      <c r="D5" s="54">
        <f>C8</f>
        <v>5571.7</v>
      </c>
      <c r="E5" s="54">
        <f t="shared" ref="E5:L5" si="0">D8</f>
        <v>5817.2</v>
      </c>
      <c r="F5" s="54">
        <f t="shared" si="0"/>
        <v>5841</v>
      </c>
      <c r="G5" s="54">
        <f t="shared" si="0"/>
        <v>5782</v>
      </c>
      <c r="H5" s="54">
        <f t="shared" si="0"/>
        <v>5946</v>
      </c>
      <c r="I5" s="54">
        <f t="shared" si="0"/>
        <v>5973.6184931963498</v>
      </c>
      <c r="J5" s="54">
        <f t="shared" si="0"/>
        <v>5851.161566758029</v>
      </c>
      <c r="K5" s="54">
        <f t="shared" si="0"/>
        <v>5548.7213204438358</v>
      </c>
      <c r="L5" s="54">
        <f t="shared" si="0"/>
        <v>5031.219248722613</v>
      </c>
    </row>
    <row r="6" spans="2:12">
      <c r="B6" s="44" t="s">
        <v>4</v>
      </c>
      <c r="C6" s="15">
        <f>-'Free Cash Flow'!B10</f>
        <v>807</v>
      </c>
      <c r="D6" s="15">
        <f>-'Free Cash Flow'!C10</f>
        <v>860.3</v>
      </c>
      <c r="E6" s="15">
        <f>-'Free Cash Flow'!D10</f>
        <v>950.4</v>
      </c>
      <c r="F6" s="15">
        <f>-'Free Cash Flow'!E10</f>
        <v>1008</v>
      </c>
      <c r="G6" s="15">
        <f>-'Free Cash Flow'!F10</f>
        <v>962</v>
      </c>
      <c r="H6" s="15">
        <f>-'Free Cash Flow'!G10</f>
        <v>1093.595538741461</v>
      </c>
      <c r="I6" s="15">
        <f>-'Free Cash Flow'!H10</f>
        <v>1277.5083154115123</v>
      </c>
      <c r="J6" s="15">
        <f>-'Free Cash Flow'!I10</f>
        <v>1492.3501771264912</v>
      </c>
      <c r="K6" s="15">
        <f>-'Free Cash Flow'!J10</f>
        <v>1743.3225477300091</v>
      </c>
      <c r="L6" s="15">
        <f>-'Free Cash Flow'!K10</f>
        <v>2036.5015879019461</v>
      </c>
    </row>
    <row r="7" spans="2:12">
      <c r="B7" s="44" t="s">
        <v>5</v>
      </c>
      <c r="C7" s="54">
        <f>-'Cash flow'!C18</f>
        <v>1013.7</v>
      </c>
      <c r="D7" s="54">
        <f>-'Cash flow'!D18</f>
        <v>1004</v>
      </c>
      <c r="E7" s="54">
        <f>-'Cash flow'!E18</f>
        <v>1212.5999999999999</v>
      </c>
      <c r="F7" s="54">
        <f>-'Cash flow'!F18</f>
        <v>970.4</v>
      </c>
      <c r="G7" s="54">
        <f>-'Cash flow'!G18</f>
        <v>1189</v>
      </c>
      <c r="H7" s="54">
        <f>-'Cash flow'!H18</f>
        <v>1121.2140319378113</v>
      </c>
      <c r="I7" s="54">
        <f>-'Cash flow'!I18</f>
        <v>1155.0513889731913</v>
      </c>
      <c r="J7" s="54">
        <f>-'Cash flow'!J18</f>
        <v>1189.9099308122977</v>
      </c>
      <c r="K7" s="54">
        <f>-'Cash flow'!K18</f>
        <v>1225.8204760087865</v>
      </c>
      <c r="L7" s="54">
        <f>-'Cash flow'!L18</f>
        <v>1262.8147731960066</v>
      </c>
    </row>
    <row r="8" spans="2:12">
      <c r="B8" s="45" t="s">
        <v>6</v>
      </c>
      <c r="C8" s="137">
        <f>'Balance sheet'!C6</f>
        <v>5571.7</v>
      </c>
      <c r="D8" s="137">
        <f>'Balance sheet'!D6</f>
        <v>5817.2</v>
      </c>
      <c r="E8" s="137">
        <f>'Balance sheet'!E6</f>
        <v>5841</v>
      </c>
      <c r="F8" s="137">
        <f>'Balance sheet'!F6</f>
        <v>5782</v>
      </c>
      <c r="G8" s="137">
        <f>'Balance sheet'!G6</f>
        <v>5946</v>
      </c>
      <c r="H8" s="137">
        <f>H5-H6+H7</f>
        <v>5973.6184931963498</v>
      </c>
      <c r="I8" s="137">
        <f t="shared" ref="I8:L8" si="1">I5-I6+I7</f>
        <v>5851.161566758029</v>
      </c>
      <c r="J8" s="137">
        <f t="shared" si="1"/>
        <v>5548.7213204438358</v>
      </c>
      <c r="K8" s="137">
        <f t="shared" si="1"/>
        <v>5031.219248722613</v>
      </c>
      <c r="L8" s="137">
        <f t="shared" si="1"/>
        <v>4257.5324340166735</v>
      </c>
    </row>
    <row r="9" spans="2:12">
      <c r="B9" s="44"/>
      <c r="C9" s="54"/>
      <c r="D9" s="54"/>
      <c r="E9" s="44"/>
      <c r="F9" s="44"/>
      <c r="G9" s="44"/>
      <c r="H9" s="44"/>
      <c r="I9" s="44"/>
      <c r="J9" s="44"/>
    </row>
    <row r="10" spans="2:12">
      <c r="B10" s="276"/>
      <c r="C10" s="277" t="s">
        <v>1</v>
      </c>
      <c r="D10" s="277" t="s">
        <v>1</v>
      </c>
      <c r="E10" s="277" t="s">
        <v>1</v>
      </c>
      <c r="F10" s="277" t="s">
        <v>1</v>
      </c>
      <c r="G10" s="277" t="s">
        <v>1</v>
      </c>
      <c r="H10" s="277" t="s">
        <v>1</v>
      </c>
      <c r="I10" s="277" t="s">
        <v>1</v>
      </c>
      <c r="J10" s="277" t="s">
        <v>1</v>
      </c>
      <c r="K10" s="65"/>
      <c r="L10" s="65"/>
    </row>
    <row r="11" spans="2:12">
      <c r="B11" s="44"/>
      <c r="C11" s="44"/>
      <c r="D11" s="44"/>
      <c r="E11" s="44"/>
      <c r="F11" s="44"/>
      <c r="G11" s="44"/>
      <c r="H11" s="44"/>
      <c r="I11" s="44"/>
      <c r="J11" s="44"/>
      <c r="K11" s="278"/>
      <c r="L11" s="278"/>
    </row>
    <row r="12" spans="2:12">
      <c r="B12" s="44"/>
      <c r="C12" s="53"/>
      <c r="D12" s="53"/>
      <c r="E12" s="53"/>
      <c r="F12" s="53"/>
      <c r="G12" s="53"/>
      <c r="H12" s="53"/>
      <c r="I12" s="53"/>
      <c r="J12" s="53"/>
      <c r="K12" s="53"/>
      <c r="L12" s="53"/>
    </row>
    <row r="13" spans="2:12">
      <c r="B13" s="44"/>
      <c r="C13" s="53"/>
      <c r="D13" s="53"/>
      <c r="E13" s="53"/>
      <c r="F13" s="53"/>
      <c r="G13" s="53"/>
      <c r="H13" s="53"/>
      <c r="I13" s="53"/>
      <c r="J13" s="53"/>
      <c r="K13" s="53"/>
      <c r="L13" s="53"/>
    </row>
    <row r="18" spans="3:12">
      <c r="C18" s="15"/>
      <c r="D18" s="15"/>
      <c r="E18" s="15"/>
      <c r="F18" s="15"/>
      <c r="G18" s="15"/>
      <c r="H18" s="15"/>
      <c r="I18" s="15"/>
      <c r="J18" s="15"/>
      <c r="K18" s="15"/>
      <c r="L18" s="15"/>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9205-3A39-4C3C-B3BF-AA133DB24569}">
  <dimension ref="B2:M17"/>
  <sheetViews>
    <sheetView workbookViewId="0">
      <selection activeCell="B29" sqref="B29"/>
    </sheetView>
  </sheetViews>
  <sheetFormatPr defaultRowHeight="15"/>
  <cols>
    <col min="2" max="2" width="26.28515625" customWidth="1"/>
    <col min="4" max="8" width="12.5703125" bestFit="1" customWidth="1"/>
    <col min="9" max="9" width="10.85546875" customWidth="1"/>
    <col min="10" max="10" width="11.7109375" customWidth="1"/>
    <col min="11" max="13" width="15.85546875" bestFit="1" customWidth="1"/>
  </cols>
  <sheetData>
    <row r="2" spans="2:13">
      <c r="B2" s="293" t="s">
        <v>8</v>
      </c>
      <c r="C2" s="293"/>
      <c r="D2" s="293"/>
      <c r="E2" s="293"/>
      <c r="F2" s="293"/>
      <c r="G2" s="293"/>
      <c r="H2" s="293"/>
      <c r="I2" s="293"/>
      <c r="J2" s="293"/>
      <c r="K2" s="293"/>
      <c r="L2" s="293"/>
      <c r="M2" s="293"/>
    </row>
    <row r="3" spans="2:13">
      <c r="B3" s="141" t="s">
        <v>9</v>
      </c>
      <c r="C3" s="141"/>
      <c r="D3" s="141">
        <v>2021</v>
      </c>
      <c r="E3" s="141">
        <v>2022</v>
      </c>
      <c r="F3" s="141">
        <v>2023</v>
      </c>
      <c r="G3" s="141">
        <v>2024</v>
      </c>
      <c r="H3" s="141">
        <v>2025</v>
      </c>
      <c r="I3" s="141">
        <v>2026</v>
      </c>
      <c r="J3" s="141">
        <v>2027</v>
      </c>
      <c r="K3" s="141">
        <v>2028</v>
      </c>
      <c r="L3" s="141">
        <v>2029</v>
      </c>
      <c r="M3" s="141">
        <v>2030</v>
      </c>
    </row>
    <row r="4" spans="2:13">
      <c r="B4" s="6" t="s">
        <v>10</v>
      </c>
    </row>
    <row r="5" spans="2:13">
      <c r="B5" s="8" t="s">
        <v>11</v>
      </c>
      <c r="D5">
        <f>'Balance sheet'!C17</f>
        <v>5741.1</v>
      </c>
      <c r="E5">
        <f>'Balance sheet'!D17</f>
        <v>7124.4</v>
      </c>
      <c r="F5">
        <f>'Balance sheet'!E17</f>
        <v>7503.6</v>
      </c>
      <c r="G5">
        <f>'Balance sheet'!F17</f>
        <v>7422.9</v>
      </c>
      <c r="H5">
        <f>'Balance sheet'!G17</f>
        <v>6042</v>
      </c>
      <c r="I5" s="15">
        <f>'Balance sheet'!H17</f>
        <v>6924.7818379054033</v>
      </c>
      <c r="J5" s="15">
        <f>'Balance sheet'!I17</f>
        <v>7084.0518201772275</v>
      </c>
      <c r="K5" s="15">
        <f>'Balance sheet'!J17</f>
        <v>7246.985012041303</v>
      </c>
      <c r="L5" s="15">
        <f>'Balance sheet'!K17</f>
        <v>7413.6656673182515</v>
      </c>
      <c r="M5" s="15">
        <f>'Balance sheet'!L17</f>
        <v>7584.1799776665703</v>
      </c>
    </row>
    <row r="6" spans="2:13">
      <c r="B6" s="8" t="s">
        <v>12</v>
      </c>
      <c r="D6">
        <f>'Balance sheet'!C18</f>
        <v>3295.1</v>
      </c>
      <c r="E6">
        <f>'Balance sheet'!D18</f>
        <v>3955.6</v>
      </c>
      <c r="F6">
        <f>'Balance sheet'!E18</f>
        <v>4632</v>
      </c>
      <c r="G6">
        <f>'Balance sheet'!F18</f>
        <v>4277</v>
      </c>
      <c r="H6">
        <f>'Balance sheet'!G18</f>
        <v>4170</v>
      </c>
      <c r="I6" s="15">
        <f>'Balance sheet'!H18</f>
        <v>4331.9668954869812</v>
      </c>
      <c r="J6" s="15">
        <f>'Balance sheet'!I18</f>
        <v>4462.7022469298272</v>
      </c>
      <c r="K6" s="15">
        <f>'Balance sheet'!J18</f>
        <v>4597.3830883843093</v>
      </c>
      <c r="L6" s="15">
        <f>'Balance sheet'!K18</f>
        <v>4736.1284916336917</v>
      </c>
      <c r="M6" s="15">
        <f>'Balance sheet'!L18</f>
        <v>4879.0611219539423</v>
      </c>
    </row>
    <row r="7" spans="2:13">
      <c r="B7" s="8" t="s">
        <v>13</v>
      </c>
      <c r="D7">
        <f>'Balance sheet'!C21</f>
        <v>2161.8000000000002</v>
      </c>
      <c r="E7">
        <f>'Balance sheet'!D21</f>
        <v>1115.9000000000001</v>
      </c>
      <c r="F7">
        <f>'Balance sheet'!E21</f>
        <v>844</v>
      </c>
      <c r="G7">
        <f>'Balance sheet'!F21</f>
        <v>1625</v>
      </c>
      <c r="H7">
        <f>'Balance sheet'!G21</f>
        <v>3069</v>
      </c>
      <c r="I7">
        <f>'Balance sheet'!H21</f>
        <v>5896</v>
      </c>
      <c r="J7">
        <f>'Balance sheet'!I21</f>
        <v>8722</v>
      </c>
      <c r="K7">
        <f>'Balance sheet'!J21</f>
        <v>12210</v>
      </c>
      <c r="L7">
        <f>'Balance sheet'!K21</f>
        <v>16380</v>
      </c>
      <c r="M7">
        <f>'Balance sheet'!L21</f>
        <v>21260</v>
      </c>
    </row>
    <row r="8" spans="2:13">
      <c r="B8" s="143" t="s">
        <v>14</v>
      </c>
      <c r="C8" s="27"/>
      <c r="D8" s="27">
        <f>'Balance sheet'!C22</f>
        <v>11198</v>
      </c>
      <c r="E8" s="27">
        <f>'Balance sheet'!D22</f>
        <v>12196</v>
      </c>
      <c r="F8" s="27">
        <f>'Balance sheet'!E22</f>
        <v>13037</v>
      </c>
      <c r="G8" s="27">
        <f>'Balance sheet'!F22</f>
        <v>13423</v>
      </c>
      <c r="H8" s="27">
        <f>'Balance sheet'!G22</f>
        <v>15088</v>
      </c>
      <c r="I8" s="104">
        <f>'Balance sheet'!H22</f>
        <v>10227.966895486981</v>
      </c>
      <c r="J8" s="104">
        <f>'Balance sheet'!I22</f>
        <v>20268.754067107053</v>
      </c>
      <c r="K8" s="104">
        <f>'Balance sheet'!J22</f>
        <v>24054.368100425614</v>
      </c>
      <c r="L8" s="104">
        <f>'Balance sheet'!K22</f>
        <v>28529.794158951943</v>
      </c>
      <c r="M8" s="104">
        <f>'Balance sheet'!L22</f>
        <v>33723.241099620514</v>
      </c>
    </row>
    <row r="10" spans="2:13">
      <c r="B10" s="6" t="s">
        <v>15</v>
      </c>
    </row>
    <row r="11" spans="2:13">
      <c r="B11" s="8" t="s">
        <v>16</v>
      </c>
      <c r="D11">
        <f>'Balance sheet'!C45</f>
        <v>5131.5</v>
      </c>
      <c r="E11">
        <f>'Balance sheet'!D45</f>
        <v>5677.7</v>
      </c>
      <c r="F11">
        <f>'Balance sheet'!E45</f>
        <v>4373</v>
      </c>
      <c r="G11">
        <f>'Balance sheet'!F45</f>
        <v>4880</v>
      </c>
      <c r="H11">
        <f>'Balance sheet'!G45</f>
        <v>6293</v>
      </c>
      <c r="I11" s="15">
        <f>'Balance sheet'!H45</f>
        <v>5274.2017067570341</v>
      </c>
      <c r="J11" s="15">
        <f>'Balance sheet'!I45</f>
        <v>5395.5083460124451</v>
      </c>
      <c r="K11" s="15">
        <f>'Balance sheet'!J45</f>
        <v>5519.6050379707303</v>
      </c>
      <c r="L11" s="15">
        <f>'Balance sheet'!K45</f>
        <v>5646.5559538440566</v>
      </c>
      <c r="M11" s="15">
        <f>'Balance sheet'!L45</f>
        <v>5776.4267407824691</v>
      </c>
    </row>
    <row r="12" spans="2:13">
      <c r="B12" s="8" t="s">
        <v>17</v>
      </c>
      <c r="D12">
        <f>'Balance sheet'!C47</f>
        <v>527.1</v>
      </c>
      <c r="E12">
        <f>'Balance sheet'!D47</f>
        <v>464.4</v>
      </c>
      <c r="F12">
        <f>'Balance sheet'!E47</f>
        <v>428</v>
      </c>
      <c r="G12">
        <f>'Balance sheet'!F47</f>
        <v>465</v>
      </c>
      <c r="H12">
        <f>'Balance sheet'!G47</f>
        <v>564</v>
      </c>
      <c r="I12" s="15">
        <f>'Balance sheet'!H47</f>
        <v>490.49929847914984</v>
      </c>
      <c r="J12" s="15">
        <f>'Balance sheet'!I47</f>
        <v>505.30218126109042</v>
      </c>
      <c r="K12" s="15">
        <f>'Balance sheet'!J47</f>
        <v>520.55180339482069</v>
      </c>
      <c r="L12" s="15">
        <f>'Balance sheet'!K47</f>
        <v>536.26164712237266</v>
      </c>
      <c r="M12" s="15">
        <f>'Balance sheet'!L47</f>
        <v>552.44560156923171</v>
      </c>
    </row>
    <row r="13" spans="2:13">
      <c r="B13" s="8" t="s">
        <v>18</v>
      </c>
      <c r="D13">
        <f>'Balance sheet'!C49</f>
        <v>156.69999999999999</v>
      </c>
      <c r="E13">
        <f>'Balance sheet'!D49</f>
        <v>126.6</v>
      </c>
      <c r="F13">
        <f>'Balance sheet'!E49</f>
        <v>117</v>
      </c>
      <c r="G13">
        <f>'Balance sheet'!F49</f>
        <v>69</v>
      </c>
      <c r="H13">
        <f>'Balance sheet'!G49</f>
        <v>588</v>
      </c>
      <c r="I13" s="15">
        <f>'Balance sheet'!H49</f>
        <v>222.44189739711035</v>
      </c>
      <c r="J13" s="15">
        <f>'Balance sheet'!I49</f>
        <v>235.19753670395264</v>
      </c>
      <c r="K13" s="15">
        <f>'Balance sheet'!J49</f>
        <v>249.05875604904429</v>
      </c>
      <c r="L13" s="15">
        <f>'Balance sheet'!K49</f>
        <v>263.77747609851451</v>
      </c>
      <c r="M13" s="15">
        <f>'Balance sheet'!L49</f>
        <v>279.50386272127196</v>
      </c>
    </row>
    <row r="14" spans="2:13">
      <c r="B14" s="8" t="s">
        <v>19</v>
      </c>
      <c r="D14">
        <f>'Balance sheet'!C50</f>
        <v>168.3</v>
      </c>
      <c r="E14">
        <f>'Balance sheet'!D50</f>
        <v>1167.2</v>
      </c>
      <c r="F14">
        <f>'Balance sheet'!E50</f>
        <v>883.7</v>
      </c>
      <c r="G14">
        <f>'Balance sheet'!F50</f>
        <v>939.1</v>
      </c>
      <c r="H14">
        <f>'Balance sheet'!G50</f>
        <v>116</v>
      </c>
      <c r="I14">
        <f>'Balance sheet'!H50</f>
        <v>116</v>
      </c>
      <c r="J14">
        <f>'Balance sheet'!I50</f>
        <v>116</v>
      </c>
      <c r="K14">
        <f>'Balance sheet'!J50</f>
        <v>116</v>
      </c>
      <c r="L14">
        <f>'Balance sheet'!K50</f>
        <v>116</v>
      </c>
      <c r="M14">
        <f>'Balance sheet'!L50</f>
        <v>116</v>
      </c>
    </row>
    <row r="15" spans="2:13">
      <c r="B15" s="144" t="s">
        <v>20</v>
      </c>
      <c r="C15" s="27"/>
      <c r="D15" s="27">
        <f>'Balance sheet'!C51</f>
        <v>5983.6</v>
      </c>
      <c r="E15" s="27">
        <f>'Balance sheet'!D51</f>
        <v>7435.9</v>
      </c>
      <c r="F15" s="27">
        <f>'Balance sheet'!E51</f>
        <v>6761</v>
      </c>
      <c r="G15" s="27">
        <f>'Balance sheet'!F51</f>
        <v>7305</v>
      </c>
      <c r="H15" s="27">
        <f>'Balance sheet'!G51</f>
        <v>8626</v>
      </c>
      <c r="I15" s="104">
        <f>'Balance sheet'!H51</f>
        <v>6103.1429026332944</v>
      </c>
      <c r="J15" s="104">
        <f>'Balance sheet'!I51</f>
        <v>6252.0080639774878</v>
      </c>
      <c r="K15" s="104">
        <f>'Balance sheet'!J51</f>
        <v>6405.2155974145953</v>
      </c>
      <c r="L15" s="104">
        <f>'Balance sheet'!K51</f>
        <v>6562.5950770649442</v>
      </c>
      <c r="M15" s="104">
        <f>'Balance sheet'!L51</f>
        <v>6724.376205072972</v>
      </c>
    </row>
    <row r="17" spans="2:13">
      <c r="B17" s="185" t="s">
        <v>104</v>
      </c>
      <c r="C17" s="186"/>
      <c r="D17" s="187">
        <f>(D5+D6)-(D11+D12)</f>
        <v>3377.6000000000004</v>
      </c>
      <c r="E17" s="187">
        <f t="shared" ref="E17:M17" si="0">(E5+E6)-(E11+E12)</f>
        <v>4937.9000000000005</v>
      </c>
      <c r="F17" s="187">
        <f t="shared" si="0"/>
        <v>7334.6</v>
      </c>
      <c r="G17" s="187">
        <f t="shared" si="0"/>
        <v>6354.9</v>
      </c>
      <c r="H17" s="187">
        <f t="shared" si="0"/>
        <v>3355</v>
      </c>
      <c r="I17" s="187">
        <f t="shared" si="0"/>
        <v>5492.0477281562016</v>
      </c>
      <c r="J17" s="187">
        <f t="shared" si="0"/>
        <v>5645.943539833519</v>
      </c>
      <c r="K17" s="187">
        <f t="shared" si="0"/>
        <v>5804.2112590600609</v>
      </c>
      <c r="L17" s="187">
        <f t="shared" si="0"/>
        <v>5966.9765579855139</v>
      </c>
      <c r="M17" s="188">
        <f t="shared" si="0"/>
        <v>6134.3687572688123</v>
      </c>
    </row>
  </sheetData>
  <mergeCells count="1">
    <mergeCell ref="B2:M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DB7E-78DC-4589-8334-8D2968D240DA}">
  <dimension ref="C2:D19"/>
  <sheetViews>
    <sheetView workbookViewId="0">
      <selection activeCell="D15" sqref="D15"/>
    </sheetView>
  </sheetViews>
  <sheetFormatPr defaultRowHeight="15"/>
  <cols>
    <col min="3" max="3" width="33" customWidth="1"/>
  </cols>
  <sheetData>
    <row r="2" spans="3:4">
      <c r="C2" s="32" t="s">
        <v>21</v>
      </c>
      <c r="D2" s="33"/>
    </row>
    <row r="3" spans="3:4">
      <c r="C3" s="34" t="s">
        <v>22</v>
      </c>
      <c r="D3" s="35">
        <f>'Balance sheet'!G36</f>
        <v>17239</v>
      </c>
    </row>
    <row r="4" spans="3:4">
      <c r="C4" s="34" t="s">
        <v>23</v>
      </c>
      <c r="D4" s="35">
        <v>357</v>
      </c>
    </row>
    <row r="5" spans="3:4">
      <c r="C5" s="34"/>
      <c r="D5" s="35"/>
    </row>
    <row r="6" spans="3:4">
      <c r="C6" s="34" t="s">
        <v>24</v>
      </c>
      <c r="D6" s="36">
        <f>-'Income Statemnt'!G23/WACC!D4</f>
        <v>0.20168067226890757</v>
      </c>
    </row>
    <row r="7" spans="3:4">
      <c r="C7" s="34" t="s">
        <v>25</v>
      </c>
      <c r="D7" s="37">
        <v>0.27</v>
      </c>
    </row>
    <row r="8" spans="3:4">
      <c r="C8" s="34" t="s">
        <v>26</v>
      </c>
      <c r="D8" s="36">
        <f>D4/SUM(D3:D4)</f>
        <v>2.0288701977722208E-2</v>
      </c>
    </row>
    <row r="9" spans="3:4">
      <c r="C9" s="34" t="s">
        <v>27</v>
      </c>
      <c r="D9" s="36">
        <f>D6*(1-D7)</f>
        <v>0.14722689075630252</v>
      </c>
    </row>
    <row r="10" spans="3:4">
      <c r="C10" s="34"/>
      <c r="D10" s="35"/>
    </row>
    <row r="11" spans="3:4">
      <c r="C11" s="34" t="s">
        <v>28</v>
      </c>
      <c r="D11" s="249">
        <v>8.5999999999999993E-2</v>
      </c>
    </row>
    <row r="12" spans="3:4">
      <c r="C12" s="34" t="s">
        <v>29</v>
      </c>
      <c r="D12" s="38">
        <v>0.15</v>
      </c>
    </row>
    <row r="13" spans="3:4">
      <c r="C13" s="34" t="s">
        <v>30</v>
      </c>
      <c r="D13" s="36">
        <f>D12-D11</f>
        <v>6.4000000000000001E-2</v>
      </c>
    </row>
    <row r="14" spans="3:4">
      <c r="C14" s="34" t="s">
        <v>31</v>
      </c>
      <c r="D14" s="39">
        <v>0.02</v>
      </c>
    </row>
    <row r="15" spans="3:4">
      <c r="C15" s="34" t="s">
        <v>32</v>
      </c>
      <c r="D15" s="248">
        <f>D3/(D3+D4)</f>
        <v>0.97971129802227774</v>
      </c>
    </row>
    <row r="16" spans="3:4">
      <c r="C16" s="34" t="s">
        <v>33</v>
      </c>
      <c r="D16" s="36">
        <f>D11+D14*(D13-D11)</f>
        <v>8.5559999999999997E-2</v>
      </c>
    </row>
    <row r="17" spans="3:4">
      <c r="C17" s="34"/>
      <c r="D17" s="35"/>
    </row>
    <row r="18" spans="3:4">
      <c r="C18" s="34"/>
      <c r="D18" s="35"/>
    </row>
    <row r="19" spans="3:4">
      <c r="C19" s="40" t="s">
        <v>34</v>
      </c>
      <c r="D19" s="41">
        <f>D9*D8+D16*D15</f>
        <v>8.6811141168447362E-2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AC86-F177-4453-8F99-65A8A188E126}">
  <dimension ref="A1:N29"/>
  <sheetViews>
    <sheetView topLeftCell="B1" workbookViewId="0">
      <selection activeCell="C21" sqref="C21"/>
    </sheetView>
  </sheetViews>
  <sheetFormatPr defaultRowHeight="15"/>
  <cols>
    <col min="2" max="2" width="28.5703125" customWidth="1"/>
    <col min="3" max="3" width="16" customWidth="1"/>
    <col min="6" max="6" width="11.42578125" customWidth="1"/>
    <col min="10" max="10" width="9.5703125" bestFit="1" customWidth="1"/>
  </cols>
  <sheetData>
    <row r="1" spans="1:14">
      <c r="A1" t="s">
        <v>35</v>
      </c>
    </row>
    <row r="3" spans="1:14">
      <c r="B3" s="128" t="s">
        <v>36</v>
      </c>
      <c r="C3" s="42"/>
      <c r="D3" s="128" t="s">
        <v>1</v>
      </c>
      <c r="E3" s="128" t="s">
        <v>1</v>
      </c>
      <c r="F3" s="128" t="s">
        <v>1</v>
      </c>
      <c r="G3" s="128" t="s">
        <v>1</v>
      </c>
      <c r="H3" s="128" t="s">
        <v>1</v>
      </c>
      <c r="I3" s="128" t="s">
        <v>1</v>
      </c>
      <c r="J3" s="128" t="s">
        <v>1</v>
      </c>
      <c r="K3" s="128" t="s">
        <v>1</v>
      </c>
      <c r="L3" s="50"/>
      <c r="M3" s="52"/>
    </row>
    <row r="4" spans="1:14">
      <c r="B4" s="43" t="s">
        <v>2</v>
      </c>
      <c r="C4" s="43" t="s">
        <v>1</v>
      </c>
      <c r="D4" s="43">
        <v>2021</v>
      </c>
      <c r="E4" s="43">
        <v>2022</v>
      </c>
      <c r="F4" s="43">
        <v>2023</v>
      </c>
      <c r="G4" s="43">
        <v>2024</v>
      </c>
      <c r="H4" s="43">
        <v>2025</v>
      </c>
      <c r="I4" s="43">
        <v>2026</v>
      </c>
      <c r="J4" s="43">
        <v>2027</v>
      </c>
      <c r="K4" s="43">
        <v>2028</v>
      </c>
      <c r="L4" s="51">
        <v>2029</v>
      </c>
      <c r="M4" s="51">
        <v>2030</v>
      </c>
    </row>
    <row r="5" spans="1:14">
      <c r="B5" s="44" t="s">
        <v>37</v>
      </c>
      <c r="C5" s="44"/>
      <c r="D5" s="54">
        <f>'Free Cash Flow'!B22</f>
        <v>573.400000000001</v>
      </c>
      <c r="E5" s="54">
        <f>'Free Cash Flow'!C22</f>
        <v>-359.49999999999727</v>
      </c>
      <c r="F5" s="54">
        <f>'Free Cash Flow'!D22</f>
        <v>-1592.3999999999996</v>
      </c>
      <c r="G5" s="54">
        <f>'Free Cash Flow'!E22</f>
        <v>1968.6</v>
      </c>
      <c r="H5" s="54">
        <f>'Free Cash Flow'!F22</f>
        <v>1864</v>
      </c>
      <c r="I5" s="54">
        <f>'Free Cash Flow'!G22</f>
        <v>8113.280436785999</v>
      </c>
      <c r="J5" s="54">
        <f>'Free Cash Flow'!H22</f>
        <v>-5483.6167034339305</v>
      </c>
      <c r="K5" s="54">
        <f>'Free Cash Flow'!I22</f>
        <v>1510.7416614975118</v>
      </c>
      <c r="L5" s="54">
        <f>'Free Cash Flow'!J22</f>
        <v>1578.9483543126448</v>
      </c>
      <c r="M5" s="54">
        <f>'Free Cash Flow'!K22</f>
        <v>1644.9294728752602</v>
      </c>
      <c r="N5" s="54"/>
    </row>
    <row r="6" spans="1:14">
      <c r="B6" s="44"/>
      <c r="C6" s="44"/>
      <c r="D6" s="44"/>
      <c r="E6" s="44"/>
      <c r="F6" s="44"/>
      <c r="G6" s="44"/>
      <c r="H6" s="44"/>
      <c r="I6" s="44"/>
      <c r="J6" s="44"/>
      <c r="K6" s="44"/>
    </row>
    <row r="7" spans="1:14">
      <c r="B7" s="44" t="s">
        <v>38</v>
      </c>
      <c r="C7" s="44"/>
      <c r="D7" s="44"/>
      <c r="E7" s="44"/>
      <c r="F7" s="44"/>
      <c r="I7" s="44">
        <v>1</v>
      </c>
      <c r="J7" s="44">
        <v>2</v>
      </c>
      <c r="K7" s="44">
        <v>3</v>
      </c>
      <c r="L7" s="44">
        <v>4</v>
      </c>
      <c r="M7" s="44">
        <v>5</v>
      </c>
    </row>
    <row r="8" spans="1:14">
      <c r="B8" s="45" t="s">
        <v>39</v>
      </c>
      <c r="C8" s="46"/>
      <c r="D8" s="45" t="s">
        <v>1</v>
      </c>
      <c r="E8" s="45" t="s">
        <v>1</v>
      </c>
      <c r="F8" s="45" t="s">
        <v>1</v>
      </c>
      <c r="G8" s="45" t="s">
        <v>1</v>
      </c>
      <c r="H8" s="45" t="s">
        <v>1</v>
      </c>
      <c r="I8" s="137">
        <f>I5/(1+$C$13)^(I7)</f>
        <v>7465.2164754800788</v>
      </c>
      <c r="J8" s="137">
        <f t="shared" ref="J8:M8" si="0">J5/(1+$C$13)^(J7)</f>
        <v>-4642.5749847043253</v>
      </c>
      <c r="K8" s="137">
        <f t="shared" si="0"/>
        <v>1176.8685587022519</v>
      </c>
      <c r="L8" s="137">
        <f t="shared" si="0"/>
        <v>1131.7528521096674</v>
      </c>
      <c r="M8" s="137">
        <f t="shared" si="0"/>
        <v>1084.867934601551</v>
      </c>
      <c r="N8" s="127"/>
    </row>
    <row r="9" spans="1:14">
      <c r="B9" s="44"/>
      <c r="C9" s="44"/>
      <c r="D9" s="44"/>
      <c r="E9" s="44"/>
      <c r="F9" s="44"/>
      <c r="G9" s="44"/>
      <c r="H9" s="44"/>
      <c r="I9" s="44"/>
      <c r="J9" s="44"/>
      <c r="K9" s="44"/>
    </row>
    <row r="10" spans="1:14">
      <c r="B10" s="294" t="s">
        <v>40</v>
      </c>
      <c r="C10" s="294"/>
      <c r="D10" s="44"/>
      <c r="E10" s="295" t="s">
        <v>41</v>
      </c>
      <c r="F10" s="296"/>
      <c r="G10" s="296"/>
      <c r="H10" s="296"/>
      <c r="I10" s="296"/>
      <c r="J10" s="296"/>
      <c r="K10" s="296"/>
    </row>
    <row r="11" spans="1:14">
      <c r="B11" s="44" t="s">
        <v>42</v>
      </c>
      <c r="C11" s="292">
        <f>I8+J8+L8+K8+M8</f>
        <v>6216.1308361892243</v>
      </c>
      <c r="D11" s="44"/>
    </row>
    <row r="12" spans="1:14">
      <c r="B12" s="44" t="s">
        <v>43</v>
      </c>
      <c r="C12" s="98">
        <v>2.7E-2</v>
      </c>
      <c r="D12" s="44"/>
      <c r="E12" s="176"/>
      <c r="F12" s="176"/>
      <c r="G12" s="295" t="s">
        <v>43</v>
      </c>
      <c r="H12" s="296"/>
      <c r="I12" s="296"/>
      <c r="J12" s="296"/>
      <c r="K12" s="296"/>
    </row>
    <row r="13" spans="1:14">
      <c r="B13" s="44" t="s">
        <v>34</v>
      </c>
      <c r="C13" s="53">
        <f>WACC!D19</f>
        <v>8.6811141168447362E-2</v>
      </c>
      <c r="D13" s="44"/>
      <c r="E13" s="176"/>
      <c r="F13" s="177">
        <f>C22</f>
        <v>327.59709527552502</v>
      </c>
      <c r="G13" s="178">
        <v>1.2999999999999998E-2</v>
      </c>
      <c r="H13" s="178">
        <v>1.7999999999999999E-2</v>
      </c>
      <c r="I13" s="178">
        <v>2.3E-2</v>
      </c>
      <c r="J13" s="178">
        <v>2.8000000000000001E-2</v>
      </c>
      <c r="K13" s="178">
        <v>3.3000000000000002E-2</v>
      </c>
    </row>
    <row r="14" spans="1:14" ht="15" customHeight="1">
      <c r="B14" s="44" t="s">
        <v>44</v>
      </c>
      <c r="C14" s="54">
        <f>(M5*(1+C12))/(C13-C12)</f>
        <v>28244.613555945394</v>
      </c>
      <c r="D14" s="44"/>
      <c r="E14" s="297" t="s">
        <v>34</v>
      </c>
      <c r="F14" s="178">
        <v>7.6811141168447353E-2</v>
      </c>
      <c r="G14" s="177">
        <f t="dataTable" ref="G14:K18" dt2D="1" dtr="1" r1="C12" r2="C13"/>
        <v>309.51741868377331</v>
      </c>
      <c r="H14" s="177">
        <v>336.01493786708357</v>
      </c>
      <c r="I14" s="177">
        <v>367.43662676840142</v>
      </c>
      <c r="J14" s="177">
        <v>405.29571667062635</v>
      </c>
      <c r="K14" s="177">
        <v>451.7962363307895</v>
      </c>
    </row>
    <row r="15" spans="1:14">
      <c r="B15" s="44" t="s">
        <v>45</v>
      </c>
      <c r="C15" s="54">
        <f>C14/((1+C13)^(M7))</f>
        <v>18627.957050643166</v>
      </c>
      <c r="D15" s="44"/>
      <c r="E15" s="296"/>
      <c r="F15" s="178">
        <v>8.1811141168447357E-2</v>
      </c>
      <c r="G15" s="177">
        <v>285.66933673162367</v>
      </c>
      <c r="H15" s="179">
        <v>308.2084275400008</v>
      </c>
      <c r="I15" s="179">
        <v>334.57997090083234</v>
      </c>
      <c r="J15" s="179">
        <v>365.85227324729465</v>
      </c>
      <c r="K15" s="177">
        <v>403.53137158292299</v>
      </c>
    </row>
    <row r="16" spans="1:14">
      <c r="B16" s="44" t="s">
        <v>46</v>
      </c>
      <c r="C16" s="54">
        <f>C15+C14</f>
        <v>46872.570606588561</v>
      </c>
      <c r="D16" s="44"/>
      <c r="E16" s="296"/>
      <c r="F16" s="178">
        <f>C13</f>
        <v>8.6811141168447362E-2</v>
      </c>
      <c r="G16" s="177">
        <v>285.66933673162367</v>
      </c>
      <c r="H16" s="179">
        <v>308.2084275400008</v>
      </c>
      <c r="I16" s="180">
        <v>334.57997090083234</v>
      </c>
      <c r="J16" s="179">
        <v>365.85227324729465</v>
      </c>
      <c r="K16" s="177">
        <v>403.53137158292299</v>
      </c>
    </row>
    <row r="17" spans="2:11">
      <c r="B17" s="44" t="s">
        <v>47</v>
      </c>
      <c r="C17" s="54">
        <f>'Balance sheet'!G21</f>
        <v>3069</v>
      </c>
      <c r="D17" s="44"/>
      <c r="E17" s="296"/>
      <c r="F17" s="178">
        <v>9.1811141168447394E-2</v>
      </c>
      <c r="G17" s="177">
        <v>247.23138714980811</v>
      </c>
      <c r="H17" s="179">
        <v>264.09060126941318</v>
      </c>
      <c r="I17" s="179">
        <v>283.39988580397227</v>
      </c>
      <c r="J17" s="179">
        <v>305.73517554404674</v>
      </c>
      <c r="K17" s="177">
        <v>331.86826435693661</v>
      </c>
    </row>
    <row r="18" spans="2:11">
      <c r="B18" s="44" t="s">
        <v>48</v>
      </c>
      <c r="C18" s="44">
        <f>WACC!D4</f>
        <v>357</v>
      </c>
      <c r="D18" s="44"/>
      <c r="E18" s="296"/>
      <c r="F18" s="178">
        <v>9.681114116844737E-2</v>
      </c>
      <c r="G18" s="177">
        <v>231.53330483347267</v>
      </c>
      <c r="H18" s="177">
        <v>246.31690310096261</v>
      </c>
      <c r="I18" s="177">
        <v>263.10339659991246</v>
      </c>
      <c r="J18" s="177">
        <v>282.32939236752208</v>
      </c>
      <c r="K18" s="177">
        <v>304.56834095427297</v>
      </c>
    </row>
    <row r="19" spans="2:11">
      <c r="B19" s="44" t="s">
        <v>49</v>
      </c>
      <c r="C19" s="44">
        <f>'Balance sheet'!G35</f>
        <v>255</v>
      </c>
      <c r="D19" s="44"/>
      <c r="E19" s="44"/>
      <c r="F19" s="44"/>
      <c r="G19" s="44"/>
      <c r="H19" s="44"/>
      <c r="I19" s="44"/>
      <c r="J19" s="44"/>
      <c r="K19" s="44"/>
    </row>
    <row r="20" spans="2:11">
      <c r="B20" s="48" t="s">
        <v>50</v>
      </c>
      <c r="C20" s="250">
        <f>C16+C17-C18-C19</f>
        <v>49329.570606588561</v>
      </c>
      <c r="D20" s="44"/>
      <c r="E20" s="44"/>
      <c r="F20" s="44"/>
      <c r="G20" s="44"/>
      <c r="H20" s="44"/>
      <c r="I20" s="44"/>
      <c r="J20" s="44"/>
      <c r="K20" s="44"/>
    </row>
    <row r="21" spans="2:11">
      <c r="B21" s="44" t="s">
        <v>51</v>
      </c>
      <c r="C21" s="47">
        <v>150.58000000000001</v>
      </c>
      <c r="D21" s="44"/>
      <c r="E21" s="44"/>
      <c r="F21" s="44"/>
      <c r="G21" s="44"/>
      <c r="H21" s="44"/>
      <c r="I21" s="44"/>
      <c r="J21" s="44"/>
      <c r="K21" s="44"/>
    </row>
    <row r="22" spans="2:11">
      <c r="B22" s="49" t="s">
        <v>52</v>
      </c>
      <c r="C22" s="247">
        <f>C20/C21</f>
        <v>327.59709527552502</v>
      </c>
      <c r="D22" s="44"/>
      <c r="E22" s="44"/>
      <c r="F22" s="44"/>
      <c r="G22" s="44"/>
      <c r="H22" s="44"/>
      <c r="I22" s="44"/>
      <c r="J22" s="44"/>
      <c r="K22" s="44"/>
    </row>
    <row r="26" spans="2:11">
      <c r="B26" t="s">
        <v>53</v>
      </c>
      <c r="C26">
        <v>284.43</v>
      </c>
    </row>
    <row r="27" spans="2:11" ht="29.25" customHeight="1">
      <c r="B27" t="s">
        <v>325</v>
      </c>
      <c r="C27" s="14">
        <f>(C22-C26)/C26</f>
        <v>0.15176702624731925</v>
      </c>
    </row>
    <row r="28" spans="2:11" ht="15.75">
      <c r="D28" s="181"/>
    </row>
    <row r="29" spans="2:11" ht="15.75">
      <c r="D29" s="99" t="s">
        <v>326</v>
      </c>
      <c r="G29" s="182" t="s">
        <v>345</v>
      </c>
    </row>
  </sheetData>
  <mergeCells count="4">
    <mergeCell ref="B10:C10"/>
    <mergeCell ref="E10:K10"/>
    <mergeCell ref="G12:K12"/>
    <mergeCell ref="E14:E18"/>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200F0-1CB3-4F08-991B-33D73EC8100E}">
  <dimension ref="A1:V69"/>
  <sheetViews>
    <sheetView workbookViewId="0">
      <selection activeCell="B26" sqref="B26:C26"/>
    </sheetView>
  </sheetViews>
  <sheetFormatPr defaultRowHeight="15"/>
  <cols>
    <col min="1" max="1" width="34.28515625" customWidth="1"/>
    <col min="6" max="7" width="9.5703125" bestFit="1" customWidth="1"/>
    <col min="8" max="8" width="18.42578125" customWidth="1"/>
    <col min="9" max="10" width="9.5703125" bestFit="1" customWidth="1"/>
    <col min="21" max="21" width="31.28515625" customWidth="1"/>
  </cols>
  <sheetData>
    <row r="1" spans="1:22">
      <c r="A1" s="299" t="s">
        <v>54</v>
      </c>
      <c r="B1" s="299"/>
      <c r="C1" s="299"/>
      <c r="D1" s="299"/>
      <c r="E1" s="299"/>
      <c r="F1" s="299"/>
    </row>
    <row r="2" spans="1:22">
      <c r="A2" s="66"/>
      <c r="B2" s="298" t="s">
        <v>55</v>
      </c>
      <c r="C2" s="298"/>
      <c r="D2" s="298"/>
      <c r="E2" s="298"/>
      <c r="F2" s="298"/>
      <c r="M2" s="63"/>
      <c r="N2" s="63"/>
      <c r="O2" s="63">
        <v>2026</v>
      </c>
      <c r="P2" s="63">
        <v>207</v>
      </c>
      <c r="Q2" s="63">
        <v>2028</v>
      </c>
      <c r="R2" s="63">
        <v>2029</v>
      </c>
      <c r="S2" s="63">
        <v>2030</v>
      </c>
      <c r="U2" s="141" t="s">
        <v>56</v>
      </c>
      <c r="V2" s="141"/>
    </row>
    <row r="3" spans="1:22">
      <c r="A3" s="2" t="s">
        <v>57</v>
      </c>
      <c r="B3" s="242">
        <v>2026</v>
      </c>
      <c r="C3" s="242">
        <v>2027</v>
      </c>
      <c r="D3" s="242">
        <v>2028</v>
      </c>
      <c r="E3" s="242">
        <v>2029</v>
      </c>
      <c r="F3" s="242">
        <v>2030</v>
      </c>
      <c r="M3" s="63" t="s">
        <v>58</v>
      </c>
      <c r="N3" s="63"/>
      <c r="O3" s="63"/>
      <c r="P3" s="63"/>
      <c r="Q3" s="63"/>
      <c r="R3" s="63"/>
      <c r="S3" s="63"/>
      <c r="U3" s="141" t="s">
        <v>59</v>
      </c>
      <c r="V3" s="251">
        <f>12%</f>
        <v>0.12</v>
      </c>
    </row>
    <row r="4" spans="1:22">
      <c r="A4" s="6" t="s">
        <v>60</v>
      </c>
      <c r="C4" s="1"/>
      <c r="H4" s="62" t="s">
        <v>61</v>
      </c>
      <c r="I4" s="28">
        <v>3</v>
      </c>
      <c r="M4" s="63" t="s">
        <v>62</v>
      </c>
      <c r="N4" s="63"/>
      <c r="O4" s="64">
        <f>'Income Statemnt'!H6</f>
        <v>35429.923491868445</v>
      </c>
      <c r="P4" s="64">
        <f>'Income Statemnt'!I6</f>
        <v>36499.170697826572</v>
      </c>
      <c r="Q4" s="64">
        <f>'Income Statemnt'!J6</f>
        <v>37600.686942912362</v>
      </c>
      <c r="R4" s="64">
        <f>'Income Statemnt'!K6</f>
        <v>38735.446081329428</v>
      </c>
      <c r="S4" s="64">
        <f>'Income Statemnt'!L6</f>
        <v>39904.45135743478</v>
      </c>
      <c r="T4" s="13"/>
      <c r="U4" s="174" t="s">
        <v>63</v>
      </c>
      <c r="V4" s="157">
        <v>1.4999999999999999E-2</v>
      </c>
    </row>
    <row r="5" spans="1:22">
      <c r="A5" s="56" t="s">
        <v>64</v>
      </c>
      <c r="B5" s="5">
        <f>CHOOSE($I$4,O4,O5,O6)</f>
        <v>35314.076073326571</v>
      </c>
      <c r="C5" s="5">
        <f>CHOOSE($I$4,P4,P5,P6)</f>
        <v>36260.873718094212</v>
      </c>
      <c r="D5" s="5">
        <f>CHOOSE($I$4,Q4,Q5,Q6)</f>
        <v>37233.055738720257</v>
      </c>
      <c r="E5" s="5">
        <f>CHOOSE($I$4,R4,R5,R6)</f>
        <v>38231.302709920201</v>
      </c>
      <c r="F5" s="5">
        <f>CHOOSE($I$4,S4,S5,S6)</f>
        <v>39256.313453143121</v>
      </c>
      <c r="M5" s="63" t="s">
        <v>65</v>
      </c>
      <c r="N5" s="63"/>
      <c r="O5" s="129">
        <f>'Income Statemnt'!G6*(1+'Income Statemnt'!$P$6)</f>
        <v>37808.545249548522</v>
      </c>
      <c r="P5" s="129">
        <f>O5*(1+'Income Statemnt'!$P$6)</f>
        <v>41564.494472178361</v>
      </c>
      <c r="Q5" s="129">
        <f>P5*(1+'Income Statemnt'!$P$6)</f>
        <v>45693.564492497237</v>
      </c>
      <c r="R5" s="129">
        <f>Q5*(1+'Income Statemnt'!$P$6)</f>
        <v>50232.821607575759</v>
      </c>
      <c r="S5" s="129">
        <f>R5*(1+'Income Statemnt'!$P$6)</f>
        <v>55223.014327824116</v>
      </c>
      <c r="U5" s="141"/>
      <c r="V5" s="141"/>
    </row>
    <row r="6" spans="1:22">
      <c r="A6" s="56" t="s">
        <v>66</v>
      </c>
      <c r="B6" s="5">
        <f>CHOOSE($I$4,O9,O10,O11)</f>
        <v>-26454.400000000001</v>
      </c>
      <c r="C6" s="5">
        <f>CHOOSE($I$4,P9,P10,P11)</f>
        <v>-27062.851200000001</v>
      </c>
      <c r="D6" s="5">
        <f>CHOOSE($I$4,Q9,Q10,Q11)</f>
        <v>-27685.296777599997</v>
      </c>
      <c r="E6" s="5">
        <f>CHOOSE($I$4,R9,R10,R11)</f>
        <v>-28322.058603484795</v>
      </c>
      <c r="F6" s="5">
        <f>CHOOSE($I$4,S9,S10,S11)</f>
        <v>-28973.465951364942</v>
      </c>
      <c r="M6" s="63" t="s">
        <v>67</v>
      </c>
      <c r="N6" s="63"/>
      <c r="O6" s="129">
        <f>'Income Statemnt'!G6*(1+'Income Statemnt'!$S$6)</f>
        <v>35314.076073326571</v>
      </c>
      <c r="P6" s="129">
        <f>O6*(1+'Income Statemnt'!$S$6)</f>
        <v>36260.873718094212</v>
      </c>
      <c r="Q6" s="129">
        <f>P6*(1+'Income Statemnt'!$S$6)</f>
        <v>37233.055738720257</v>
      </c>
      <c r="R6" s="129">
        <f>Q6*(1+'Income Statemnt'!$S$6)</f>
        <v>38231.302709920201</v>
      </c>
      <c r="S6" s="129">
        <f>R6*(1+'Income Statemnt'!$S$6)</f>
        <v>39256.313453143121</v>
      </c>
      <c r="U6" s="141" t="s">
        <v>68</v>
      </c>
      <c r="V6" s="157">
        <v>3.5000000000000003E-2</v>
      </c>
    </row>
    <row r="7" spans="1:22">
      <c r="A7" s="25" t="s">
        <v>69</v>
      </c>
      <c r="B7" s="55">
        <f>B5+B6</f>
        <v>8859.6760733265692</v>
      </c>
      <c r="C7" s="55">
        <f t="shared" ref="C7:F7" si="0">C5+C6</f>
        <v>9198.0225180942107</v>
      </c>
      <c r="D7" s="55">
        <f t="shared" si="0"/>
        <v>9547.7589611202602</v>
      </c>
      <c r="E7" s="55">
        <f t="shared" si="0"/>
        <v>9909.2441064354061</v>
      </c>
      <c r="F7" s="55">
        <f t="shared" si="0"/>
        <v>10282.847501778178</v>
      </c>
      <c r="M7" s="63"/>
      <c r="N7" s="63"/>
      <c r="O7" s="63"/>
      <c r="P7" s="63"/>
      <c r="Q7" s="63"/>
      <c r="R7" s="63"/>
      <c r="S7" s="63"/>
      <c r="U7" s="141" t="s">
        <v>70</v>
      </c>
      <c r="V7" s="157">
        <v>7.4999999999999997E-2</v>
      </c>
    </row>
    <row r="8" spans="1:22">
      <c r="A8" s="1"/>
      <c r="C8" s="1"/>
      <c r="M8" s="63" t="s">
        <v>71</v>
      </c>
      <c r="N8" s="63"/>
      <c r="O8" s="63"/>
      <c r="P8" s="63"/>
      <c r="Q8" s="63"/>
      <c r="R8" s="63"/>
      <c r="S8" s="63"/>
      <c r="U8" s="141" t="s">
        <v>72</v>
      </c>
      <c r="V8" s="157">
        <v>4.4999999999999998E-2</v>
      </c>
    </row>
    <row r="9" spans="1:22">
      <c r="A9" s="57" t="s">
        <v>73</v>
      </c>
      <c r="B9" s="27"/>
      <c r="C9" s="27"/>
      <c r="D9" s="27"/>
      <c r="E9" s="27"/>
      <c r="F9" s="27"/>
      <c r="M9" s="63" t="s">
        <v>62</v>
      </c>
      <c r="N9" s="63"/>
      <c r="O9" s="64">
        <f>'Income Statemnt'!H7</f>
        <v>-24163.26</v>
      </c>
      <c r="P9" s="64">
        <f>'Income Statemnt'!I7</f>
        <v>-24719.014979999996</v>
      </c>
      <c r="Q9" s="64">
        <f>'Income Statemnt'!J7</f>
        <v>-25287.552324539993</v>
      </c>
      <c r="R9" s="64">
        <f>'Income Statemnt'!K7</f>
        <v>-25869.166028004409</v>
      </c>
      <c r="S9" s="64">
        <f>'Income Statemnt'!L7</f>
        <v>-26464.156846648508</v>
      </c>
    </row>
    <row r="10" spans="1:22">
      <c r="A10" t="s">
        <v>74</v>
      </c>
      <c r="B10">
        <f>CHOOSE($I$4,O14,O15,O16)</f>
        <v>-7630.3499999999995</v>
      </c>
      <c r="C10">
        <f>CHOOSE($I$4,P14,P15,P16)</f>
        <v>-7973.7157499999994</v>
      </c>
      <c r="D10">
        <f>CHOOSE($I$4,Q14,Q15,Q16)</f>
        <v>-8332.5329587499982</v>
      </c>
      <c r="E10">
        <f>CHOOSE($I$4,R14,R15,R16)</f>
        <v>-8707.4969418937471</v>
      </c>
      <c r="F10">
        <f>CHOOSE($I$4,S14,S15,S16)</f>
        <v>-9099.3343042789656</v>
      </c>
      <c r="M10" s="63" t="s">
        <v>65</v>
      </c>
      <c r="N10" s="63"/>
      <c r="O10" s="129">
        <f>'Income Statemnt'!G7*(1+V4)</f>
        <v>-23974.3</v>
      </c>
      <c r="P10" s="129">
        <f>'Income Statemnt'!H7*(1+W4)</f>
        <v>-24163.26</v>
      </c>
      <c r="Q10" s="129">
        <f>'Income Statemnt'!I7*(1+X4)</f>
        <v>-24719.014979999996</v>
      </c>
      <c r="R10" s="129">
        <f>'Income Statemnt'!J7*(1+Y4)</f>
        <v>-25287.552324539993</v>
      </c>
      <c r="S10" s="129">
        <f>'Income Statemnt'!K7*(1+Z4)</f>
        <v>-25869.166028004409</v>
      </c>
    </row>
    <row r="11" spans="1:22">
      <c r="A11" s="25" t="s">
        <v>75</v>
      </c>
      <c r="B11" s="55">
        <f>B7+B10</f>
        <v>1229.3260733265697</v>
      </c>
      <c r="C11" s="55">
        <f t="shared" ref="C11:F11" si="1">C7+C10</f>
        <v>1224.3067680942113</v>
      </c>
      <c r="D11" s="55">
        <f t="shared" si="1"/>
        <v>1215.226002370262</v>
      </c>
      <c r="E11" s="55">
        <f t="shared" si="1"/>
        <v>1201.747164541659</v>
      </c>
      <c r="F11" s="55">
        <f t="shared" si="1"/>
        <v>1183.5131974992128</v>
      </c>
      <c r="M11" s="63" t="s">
        <v>67</v>
      </c>
      <c r="N11" s="63"/>
      <c r="O11" s="129">
        <f>'Income Statemnt'!G7*(1+$V3)</f>
        <v>-26454.400000000001</v>
      </c>
      <c r="P11" s="129">
        <f>'Income Statemnt'!H7*(1+$V3)</f>
        <v>-27062.851200000001</v>
      </c>
      <c r="Q11" s="129">
        <f>'Income Statemnt'!I7*(1+$V3)</f>
        <v>-27685.296777599997</v>
      </c>
      <c r="R11" s="129">
        <f>'Income Statemnt'!J7*(1+$V3)</f>
        <v>-28322.058603484795</v>
      </c>
      <c r="S11" s="129">
        <f>'Income Statemnt'!K7*(1+$V3)</f>
        <v>-28973.465951364942</v>
      </c>
      <c r="U11" s="141" t="s">
        <v>76</v>
      </c>
      <c r="V11" s="175">
        <v>0.3</v>
      </c>
    </row>
    <row r="12" spans="1:22">
      <c r="A12" s="56" t="s">
        <v>77</v>
      </c>
      <c r="B12" s="5">
        <f>CHOOSE($I$4,O19,O20,O21)</f>
        <v>21.295240008033741</v>
      </c>
      <c r="C12" s="5">
        <f>CHOOSE($I$4,P19,P20,P21)</f>
        <v>21.295240008033741</v>
      </c>
      <c r="D12" s="5">
        <f>CHOOSE($I$4,Q19,Q20,Q21)</f>
        <v>21.295240008033741</v>
      </c>
      <c r="E12" s="5">
        <f>CHOOSE($I$4,R19,R20,R21)</f>
        <v>21.295240008033741</v>
      </c>
      <c r="F12" s="5">
        <f>CHOOSE($I$4,S19,S20,S21)</f>
        <v>21.295240008033741</v>
      </c>
      <c r="M12" s="63"/>
      <c r="N12" s="63"/>
      <c r="O12" s="63"/>
      <c r="P12" s="63"/>
      <c r="Q12" s="63"/>
      <c r="R12" s="63"/>
      <c r="S12" s="63"/>
      <c r="U12" s="141" t="s">
        <v>78</v>
      </c>
      <c r="V12" s="175">
        <v>0.25</v>
      </c>
    </row>
    <row r="13" spans="1:22">
      <c r="A13" t="s">
        <v>79</v>
      </c>
      <c r="B13">
        <f>CHOOSE($I$4,O39,O40,O41)</f>
        <v>7.636599130354333</v>
      </c>
      <c r="C13">
        <f>CHOOSE($I$4,P39,P40,P41)</f>
        <v>11.29688222777315</v>
      </c>
      <c r="D13">
        <f>CHOOSE($I$4,Q39,Q40,Q41)</f>
        <v>15.814598945323338</v>
      </c>
      <c r="E13">
        <f>CHOOSE($I$4,R39,R40,R41)</f>
        <v>21.215653621981676</v>
      </c>
      <c r="F13">
        <f>CHOOSE($I$4,S39,S40,S41)</f>
        <v>27.536312332315656</v>
      </c>
      <c r="I13" s="14"/>
      <c r="M13" s="63" t="s">
        <v>80</v>
      </c>
      <c r="N13" s="63"/>
      <c r="O13" s="63"/>
      <c r="P13" s="63"/>
      <c r="Q13" s="63"/>
      <c r="R13" s="63"/>
      <c r="S13" s="63"/>
      <c r="U13" s="141" t="s">
        <v>81</v>
      </c>
      <c r="V13" s="175">
        <v>0.27</v>
      </c>
    </row>
    <row r="14" spans="1:22">
      <c r="A14" s="8" t="s">
        <v>82</v>
      </c>
      <c r="B14" s="5">
        <f>CHOOSE($I$4,O24,O25,O26)</f>
        <v>17.001307068212906</v>
      </c>
      <c r="C14" s="5">
        <f>CHOOSE($I$4,P24,P25,P26)</f>
        <v>17.457125237056736</v>
      </c>
      <c r="D14" s="5">
        <f>CHOOSE($I$4,Q24,Q25,Q26)</f>
        <v>17.925164242934716</v>
      </c>
      <c r="E14" s="5">
        <f>CHOOSE($I$4,R24,R25,R26)</f>
        <v>18.405751735923175</v>
      </c>
      <c r="F14" s="5">
        <f>CHOOSE($I$4,S24,S25,S26)</f>
        <v>18.899224150649964</v>
      </c>
      <c r="I14" s="125"/>
      <c r="M14" s="63" t="s">
        <v>62</v>
      </c>
      <c r="N14" s="63"/>
      <c r="O14" s="129">
        <f>'Income Statemnt'!H10</f>
        <v>-7417.41</v>
      </c>
      <c r="P14" s="129">
        <f>'Income Statemnt'!I10</f>
        <v>-7751.1934499999988</v>
      </c>
      <c r="Q14" s="129">
        <f>'Income Statemnt'!J10</f>
        <v>-8099.9971552499983</v>
      </c>
      <c r="R14" s="129">
        <f>'Income Statemnt'!K10</f>
        <v>-8464.497027236248</v>
      </c>
      <c r="S14" s="129">
        <f>'Income Statemnt'!L10</f>
        <v>-8845.3993934618793</v>
      </c>
    </row>
    <row r="15" spans="1:22">
      <c r="A15" s="8" t="s">
        <v>83</v>
      </c>
      <c r="B15" s="5">
        <f>CHOOSE($I$4,O29,O30,O31)</f>
        <v>386.08085030154655</v>
      </c>
      <c r="C15" s="5">
        <f>CHOOSE($I$4,P29,P30,P31)</f>
        <v>396.43197598288623</v>
      </c>
      <c r="D15" s="5">
        <f>CHOOSE($I$4,Q29,Q30,Q31)</f>
        <v>407.060623335625</v>
      </c>
      <c r="E15" s="5">
        <f>CHOOSE($I$4,R29,R30,R31)</f>
        <v>417.97423293004169</v>
      </c>
      <c r="F15" s="5">
        <f>CHOOSE($I$4,S29,S30,S31)</f>
        <v>429.18044482384892</v>
      </c>
      <c r="I15" s="125"/>
      <c r="M15" s="63" t="s">
        <v>65</v>
      </c>
      <c r="N15" s="63"/>
      <c r="O15" s="129">
        <f>'Income Statemnt'!G10*(1+$V$6)</f>
        <v>-7346.4299999999994</v>
      </c>
      <c r="P15" s="129">
        <f>'Income Statemnt'!H10*(1+$V$6)</f>
        <v>-7677.0193499999996</v>
      </c>
      <c r="Q15" s="129">
        <f>'Income Statemnt'!I10*(1+$V$6)</f>
        <v>-8022.485220749998</v>
      </c>
      <c r="R15" s="129">
        <f>'Income Statemnt'!J10*(1+$V$6)</f>
        <v>-8383.497055683747</v>
      </c>
      <c r="S15" s="129">
        <f>'Income Statemnt'!K10*(1+$V$6)</f>
        <v>-8760.7544231895154</v>
      </c>
    </row>
    <row r="16" spans="1:22">
      <c r="M16" s="63" t="s">
        <v>67</v>
      </c>
      <c r="N16" s="63"/>
      <c r="O16" s="129">
        <f>'Income Statemnt'!G10*(1+$V7)</f>
        <v>-7630.3499999999995</v>
      </c>
      <c r="P16" s="129">
        <f>'Income Statemnt'!H10*(1+$V7)</f>
        <v>-7973.7157499999994</v>
      </c>
      <c r="Q16" s="129">
        <f>'Income Statemnt'!I10*(1+$V7)</f>
        <v>-8332.5329587499982</v>
      </c>
      <c r="R16" s="129">
        <f>'Income Statemnt'!J10*(1+$V7)</f>
        <v>-8707.4969418937471</v>
      </c>
      <c r="S16" s="129">
        <f>'Income Statemnt'!K10*(1+$V7)</f>
        <v>-9099.3343042789656</v>
      </c>
    </row>
    <row r="17" spans="1:19">
      <c r="A17" s="11" t="s">
        <v>84</v>
      </c>
      <c r="B17" s="55">
        <f>B11+B12+B14+B15+B13</f>
        <v>1661.3400698347175</v>
      </c>
      <c r="C17" s="55">
        <f t="shared" ref="C17:F17" si="2">C11+C12+C14+C15+C13</f>
        <v>1670.7879915499611</v>
      </c>
      <c r="D17" s="55">
        <f t="shared" si="2"/>
        <v>1677.3216289021786</v>
      </c>
      <c r="E17" s="55">
        <f t="shared" si="2"/>
        <v>1680.638042837639</v>
      </c>
      <c r="F17" s="55">
        <f t="shared" si="2"/>
        <v>1680.4244188140613</v>
      </c>
      <c r="M17" s="63"/>
      <c r="N17" s="63"/>
      <c r="O17" s="63"/>
      <c r="P17" s="63"/>
      <c r="Q17" s="63"/>
      <c r="R17" s="63"/>
      <c r="S17" s="63"/>
    </row>
    <row r="18" spans="1:19">
      <c r="A18" s="6" t="s">
        <v>85</v>
      </c>
      <c r="B18" s="13"/>
      <c r="C18" s="1"/>
      <c r="M18" s="63" t="s">
        <v>86</v>
      </c>
      <c r="N18" s="63"/>
      <c r="O18" s="63"/>
      <c r="P18" s="63"/>
      <c r="Q18" s="63"/>
      <c r="R18" s="63"/>
      <c r="S18" s="63"/>
    </row>
    <row r="19" spans="1:19">
      <c r="A19" s="56" t="s">
        <v>18</v>
      </c>
      <c r="B19" s="1">
        <f>CHOOSE($I$4,O34,O35,O36)</f>
        <v>-1343.8812587709324</v>
      </c>
      <c r="C19" s="1">
        <f>CHOOSE($I$4,P34,P35,P36)</f>
        <v>-1420.9443696717742</v>
      </c>
      <c r="D19" s="1">
        <f>CHOOSE($I$4,Q34,Q35,Q36)</f>
        <v>-1504.6868350955733</v>
      </c>
      <c r="E19" s="1">
        <f>CHOOSE($I$4,R34,R35,R36)</f>
        <v>-1593.609885379876</v>
      </c>
      <c r="F19" s="1">
        <f>CHOOSE($I$4,S34,S35,S36)</f>
        <v>-1688.62074663314</v>
      </c>
      <c r="M19" s="63" t="s">
        <v>62</v>
      </c>
      <c r="N19" s="63"/>
      <c r="O19" s="129">
        <f>'Income Statemnt'!H23</f>
        <v>-56.941290642639991</v>
      </c>
      <c r="P19" s="129">
        <f>'Income Statemnt'!I23</f>
        <v>-56.941290642639991</v>
      </c>
      <c r="Q19" s="129">
        <f>'Income Statemnt'!J23</f>
        <v>-56.941290642639991</v>
      </c>
      <c r="R19" s="129">
        <f>'Income Statemnt'!K23</f>
        <v>-56.941290642639991</v>
      </c>
      <c r="S19" s="129">
        <f>'Income Statemnt'!L23</f>
        <v>-56.941290642639991</v>
      </c>
    </row>
    <row r="20" spans="1:19">
      <c r="A20" s="11" t="s">
        <v>87</v>
      </c>
      <c r="B20" s="55">
        <f>B17+B19</f>
        <v>317.45881106378511</v>
      </c>
      <c r="C20" s="55">
        <f t="shared" ref="C20:F20" si="3">C17+C19</f>
        <v>249.84362187818692</v>
      </c>
      <c r="D20" s="55">
        <f t="shared" si="3"/>
        <v>172.63479380660533</v>
      </c>
      <c r="E20" s="55">
        <f t="shared" si="3"/>
        <v>87.028157457762973</v>
      </c>
      <c r="F20" s="55">
        <f t="shared" si="3"/>
        <v>-8.1963278190787605</v>
      </c>
      <c r="M20" s="63" t="s">
        <v>65</v>
      </c>
      <c r="N20" s="63"/>
      <c r="O20" s="129">
        <f>(('Balance sheet'!H50+'Balance sheet'!H41)/2)*'Income Statemnt'!$R$10</f>
        <v>88.811689880041868</v>
      </c>
      <c r="P20" s="129">
        <f>(('Balance sheet'!I50+'Balance sheet'!I41)/2)*'Income Statemnt'!$R$10</f>
        <v>88.811689880041868</v>
      </c>
      <c r="Q20" s="129">
        <f>(('Balance sheet'!J50+'Balance sheet'!J41)/2)*'Income Statemnt'!$R$10</f>
        <v>88.811689880041868</v>
      </c>
      <c r="R20" s="129">
        <f>(('Balance sheet'!K50+'Balance sheet'!K41)/2)*'Income Statemnt'!$R$10</f>
        <v>88.811689880041868</v>
      </c>
      <c r="S20" s="129">
        <f>(('Balance sheet'!L50+'Balance sheet'!L41)/2)*'Income Statemnt'!$R$10</f>
        <v>88.811689880041868</v>
      </c>
    </row>
    <row r="21" spans="1:19">
      <c r="A21" s="8"/>
      <c r="B21" s="13"/>
      <c r="C21" s="13"/>
      <c r="D21" s="13"/>
      <c r="E21" s="13"/>
      <c r="F21" s="13"/>
      <c r="M21" s="63" t="s">
        <v>67</v>
      </c>
      <c r="N21" s="63"/>
      <c r="O21" s="129">
        <f>(('Balance sheet'!H50+'Balance sheet'!H41)/2)*'Income Statemnt'!$P$10</f>
        <v>21.295240008033741</v>
      </c>
      <c r="P21" s="129">
        <f>(('Balance sheet'!I50+'Balance sheet'!I41)/2)*'Income Statemnt'!$P$10</f>
        <v>21.295240008033741</v>
      </c>
      <c r="Q21" s="129">
        <f>(('Balance sheet'!J50+'Balance sheet'!J41)/2)*'Income Statemnt'!$P$10</f>
        <v>21.295240008033741</v>
      </c>
      <c r="R21" s="129">
        <f>(('Balance sheet'!K50+'Balance sheet'!K41)/2)*'Income Statemnt'!$P$10</f>
        <v>21.295240008033741</v>
      </c>
      <c r="S21" s="129">
        <f>(('Balance sheet'!L50+'Balance sheet'!L41)/2)*'Income Statemnt'!$P$10</f>
        <v>21.295240008033741</v>
      </c>
    </row>
    <row r="22" spans="1:19">
      <c r="A22" s="61"/>
      <c r="B22" s="60"/>
      <c r="C22" s="60"/>
      <c r="D22" s="60"/>
      <c r="E22" s="60"/>
      <c r="F22" s="60"/>
      <c r="M22" s="63"/>
      <c r="N22" s="63"/>
      <c r="O22" s="63"/>
      <c r="P22" s="63"/>
      <c r="Q22" s="63"/>
      <c r="R22" s="63"/>
      <c r="S22" s="63"/>
    </row>
    <row r="23" spans="1:19">
      <c r="M23" s="63" t="s">
        <v>88</v>
      </c>
      <c r="N23" s="63"/>
      <c r="O23" s="63"/>
      <c r="P23" s="63"/>
      <c r="Q23" s="63"/>
      <c r="R23" s="63"/>
      <c r="S23" s="63"/>
    </row>
    <row r="24" spans="1:19">
      <c r="A24" s="359"/>
      <c r="M24" s="63" t="s">
        <v>62</v>
      </c>
      <c r="N24" s="63"/>
      <c r="O24" s="129">
        <f>'Income Statemnt'!H26</f>
        <v>19</v>
      </c>
      <c r="P24" s="129">
        <f>'Income Statemnt'!I26</f>
        <v>19</v>
      </c>
      <c r="Q24" s="129">
        <f>'Income Statemnt'!J26</f>
        <v>22.055422286393348</v>
      </c>
      <c r="R24" s="129">
        <f>'Income Statemnt'!K26</f>
        <v>22.721037572335614</v>
      </c>
      <c r="S24" s="129">
        <f>'Income Statemnt'!L26</f>
        <v>23.406740603736893</v>
      </c>
    </row>
    <row r="25" spans="1:19">
      <c r="A25" s="28"/>
      <c r="B25" s="358"/>
      <c r="C25" s="358"/>
      <c r="D25" s="358"/>
      <c r="E25" s="358"/>
      <c r="F25" s="358"/>
      <c r="M25" s="63" t="s">
        <v>65</v>
      </c>
      <c r="N25" s="63"/>
      <c r="O25" s="129">
        <f>O5*'Income Statemnt'!$P$13</f>
        <v>25.221325907236245</v>
      </c>
      <c r="P25" s="129">
        <f>P5*'Income Statemnt'!$P$13</f>
        <v>27.726844667869038</v>
      </c>
      <c r="Q25" s="129">
        <f>Q5*'Income Statemnt'!$P$13</f>
        <v>30.481264865443411</v>
      </c>
      <c r="R25" s="129">
        <f>R5*'Income Statemnt'!$P$13</f>
        <v>33.509312686921106</v>
      </c>
      <c r="S25" s="129">
        <f>S5*'Income Statemnt'!$P$13</f>
        <v>36.838170650288646</v>
      </c>
    </row>
    <row r="26" spans="1:19">
      <c r="B26" s="15"/>
      <c r="C26" s="15"/>
      <c r="D26" s="15"/>
      <c r="E26" s="15"/>
      <c r="F26" s="15"/>
      <c r="G26" s="329"/>
      <c r="H26" s="15"/>
      <c r="I26" s="15"/>
      <c r="J26" s="15"/>
      <c r="K26" s="15"/>
      <c r="L26" s="15"/>
      <c r="M26" s="63" t="s">
        <v>67</v>
      </c>
      <c r="N26" s="63"/>
      <c r="O26" s="129">
        <f>O6*'Income Statemnt'!$Q$13</f>
        <v>17.001307068212906</v>
      </c>
      <c r="P26" s="129">
        <f>P6*'Income Statemnt'!$Q$13</f>
        <v>17.457125237056736</v>
      </c>
      <c r="Q26" s="129">
        <f>Q6*'Income Statemnt'!$Q$13</f>
        <v>17.925164242934716</v>
      </c>
      <c r="R26" s="129">
        <f>R6*'Income Statemnt'!$Q$13</f>
        <v>18.405751735923175</v>
      </c>
      <c r="S26" s="129">
        <f>S6*'Income Statemnt'!$Q$13</f>
        <v>18.899224150649964</v>
      </c>
    </row>
    <row r="27" spans="1:19">
      <c r="A27" s="29"/>
      <c r="B27" s="29"/>
      <c r="C27" s="29"/>
      <c r="D27" s="29"/>
      <c r="F27" s="29"/>
      <c r="G27" s="329"/>
      <c r="H27" s="13"/>
      <c r="I27" s="15"/>
      <c r="J27" s="13"/>
      <c r="K27" s="13"/>
      <c r="M27" s="63"/>
      <c r="N27" s="63"/>
      <c r="O27" s="63"/>
      <c r="P27" s="63"/>
      <c r="Q27" s="63"/>
      <c r="R27" s="63"/>
      <c r="S27" s="63"/>
    </row>
    <row r="28" spans="1:19">
      <c r="A28" s="29"/>
      <c r="B28" s="29"/>
      <c r="C28" s="29"/>
      <c r="D28" s="29"/>
      <c r="F28" s="29"/>
      <c r="G28" s="329"/>
      <c r="H28" s="13"/>
      <c r="I28" s="15"/>
      <c r="J28" s="13"/>
      <c r="K28" s="13"/>
      <c r="M28" s="63" t="s">
        <v>89</v>
      </c>
      <c r="N28" s="63"/>
      <c r="O28" s="63"/>
      <c r="P28" s="63"/>
      <c r="Q28" s="63"/>
      <c r="R28" s="63"/>
      <c r="S28" s="63"/>
    </row>
    <row r="29" spans="1:19">
      <c r="A29" s="29"/>
      <c r="B29" s="29"/>
      <c r="C29" s="29"/>
      <c r="D29" s="29"/>
      <c r="F29" s="29"/>
      <c r="G29" s="329"/>
      <c r="H29" s="13"/>
      <c r="I29" s="15"/>
      <c r="J29" s="13"/>
      <c r="K29" s="13"/>
      <c r="M29" s="63" t="s">
        <v>62</v>
      </c>
      <c r="N29" s="63"/>
      <c r="O29" s="129">
        <f>'Income Statemnt'!H27</f>
        <v>541.38021589331038</v>
      </c>
      <c r="P29" s="129">
        <f>'Income Statemnt'!I27</f>
        <v>557.71864471712047</v>
      </c>
      <c r="Q29" s="129">
        <f>'Income Statemnt'!J27</f>
        <v>574.55015446371647</v>
      </c>
      <c r="R29" s="129">
        <f>'Income Statemnt'!K27</f>
        <v>591.88962592727</v>
      </c>
      <c r="S29" s="129">
        <f>'Income Statemnt'!L27</f>
        <v>609.75238899260899</v>
      </c>
    </row>
    <row r="30" spans="1:19">
      <c r="A30" s="29"/>
      <c r="B30" s="29"/>
      <c r="C30" s="29"/>
      <c r="D30" s="29"/>
      <c r="F30" s="29"/>
      <c r="G30" s="329"/>
      <c r="H30" s="13"/>
      <c r="I30" s="15"/>
      <c r="J30" s="13"/>
      <c r="K30" s="13"/>
      <c r="M30" s="63" t="s">
        <v>65</v>
      </c>
      <c r="N30" s="63"/>
      <c r="O30" s="129">
        <f>O5*'Income Statemnt'!$R$12</f>
        <v>817.26239806153728</v>
      </c>
      <c r="P30" s="129">
        <f>P5*'Income Statemnt'!$R$12</f>
        <v>898.45028954013048</v>
      </c>
      <c r="Q30" s="129">
        <f>Q5*'Income Statemnt'!$R$12</f>
        <v>987.70348995545464</v>
      </c>
      <c r="R30" s="129">
        <f>R5*'Income Statemnt'!$R$12</f>
        <v>1085.8232174086359</v>
      </c>
      <c r="S30" s="129">
        <f>S5*'Income Statemnt'!$R$12</f>
        <v>1193.6902840313087</v>
      </c>
    </row>
    <row r="31" spans="1:19">
      <c r="A31" s="29"/>
      <c r="B31" s="29"/>
      <c r="C31" s="29"/>
      <c r="D31" s="29"/>
      <c r="F31" s="29"/>
      <c r="G31" s="329"/>
      <c r="H31" s="13"/>
      <c r="J31" s="13"/>
      <c r="K31" s="13"/>
      <c r="M31" s="63" t="s">
        <v>67</v>
      </c>
      <c r="N31" s="63"/>
      <c r="O31" s="129">
        <f>O6*'Income Statemnt'!$S$12</f>
        <v>386.08085030154655</v>
      </c>
      <c r="P31" s="129">
        <f>P6*'Income Statemnt'!$S$12</f>
        <v>396.43197598288623</v>
      </c>
      <c r="Q31" s="129">
        <f>Q6*'Income Statemnt'!$S$12</f>
        <v>407.060623335625</v>
      </c>
      <c r="R31" s="129">
        <f>R6*'Income Statemnt'!$S$12</f>
        <v>417.97423293004169</v>
      </c>
      <c r="S31" s="129">
        <f>S6*'Income Statemnt'!$S$12</f>
        <v>429.18044482384892</v>
      </c>
    </row>
    <row r="32" spans="1:19">
      <c r="A32" s="29"/>
      <c r="B32" s="29"/>
      <c r="C32" s="29"/>
      <c r="D32" s="29"/>
      <c r="F32" s="29"/>
      <c r="G32" s="329"/>
      <c r="H32" s="13"/>
      <c r="I32" s="15"/>
      <c r="J32" s="13"/>
      <c r="K32" s="13"/>
      <c r="M32" s="63"/>
      <c r="N32" s="63"/>
      <c r="O32" s="63"/>
      <c r="P32" s="63"/>
      <c r="Q32" s="63"/>
      <c r="R32" s="63"/>
      <c r="S32" s="63"/>
    </row>
    <row r="33" spans="1:19">
      <c r="A33" s="29"/>
      <c r="B33" s="29"/>
      <c r="C33" s="29"/>
      <c r="D33" s="29"/>
      <c r="F33" s="29"/>
      <c r="G33" s="329"/>
      <c r="H33" s="13"/>
      <c r="I33" s="15"/>
      <c r="J33" s="13"/>
      <c r="K33" s="13"/>
      <c r="M33" s="63" t="s">
        <v>90</v>
      </c>
      <c r="N33" s="63"/>
      <c r="O33" s="63"/>
      <c r="P33" s="63"/>
      <c r="Q33" s="63"/>
      <c r="R33" s="63"/>
      <c r="S33" s="63"/>
    </row>
    <row r="34" spans="1:19">
      <c r="A34" s="29"/>
      <c r="B34" s="29"/>
      <c r="C34" s="29"/>
      <c r="D34" s="29"/>
      <c r="F34" s="29"/>
      <c r="G34" s="329"/>
      <c r="H34" s="13"/>
      <c r="I34" s="15"/>
      <c r="J34" s="13"/>
      <c r="K34" s="13"/>
      <c r="M34" s="63" t="s">
        <v>62</v>
      </c>
      <c r="N34" s="63"/>
      <c r="O34" s="129">
        <f>'Income Statemnt'!H32</f>
        <v>-1209.4931328938392</v>
      </c>
      <c r="P34" s="129">
        <f>'Income Statemnt'!I32</f>
        <v>-1278.8499327045968</v>
      </c>
      <c r="Q34" s="129">
        <f>'Income Statemnt'!J32</f>
        <v>-1354.2181515860161</v>
      </c>
      <c r="R34" s="129">
        <f>'Income Statemnt'!K32</f>
        <v>-1434.2488968418886</v>
      </c>
      <c r="S34" s="129">
        <f>'Income Statemnt'!L32</f>
        <v>-1519.7586719698261</v>
      </c>
    </row>
    <row r="35" spans="1:19">
      <c r="A35" s="29"/>
      <c r="B35" s="29"/>
      <c r="C35" s="29"/>
      <c r="D35" s="29"/>
      <c r="F35" s="29"/>
      <c r="G35" s="329"/>
      <c r="H35" s="13"/>
      <c r="I35" s="15"/>
      <c r="J35" s="13"/>
      <c r="K35" s="13"/>
      <c r="M35" s="63" t="s">
        <v>65</v>
      </c>
      <c r="N35" s="63"/>
      <c r="O35" s="129">
        <f>-'Income Statemnt'!H29*$V12</f>
        <v>-1119.901048975777</v>
      </c>
      <c r="P35" s="129">
        <f>-'Income Statemnt'!I29*$V12</f>
        <v>-1184.1203080598118</v>
      </c>
      <c r="Q35" s="129">
        <f>-'Income Statemnt'!J29*$V12</f>
        <v>-1253.9056959129778</v>
      </c>
      <c r="R35" s="129">
        <f>-'Income Statemnt'!K29*$V12</f>
        <v>-1328.0082378165635</v>
      </c>
      <c r="S35" s="129">
        <f>-'Income Statemnt'!L29*$V12</f>
        <v>-1407.1839555276167</v>
      </c>
    </row>
    <row r="36" spans="1:19">
      <c r="A36" s="29"/>
      <c r="B36" s="29"/>
      <c r="C36" s="29"/>
      <c r="D36" s="29"/>
      <c r="F36" s="29"/>
      <c r="G36" s="329"/>
      <c r="H36" s="13"/>
      <c r="I36" s="15"/>
      <c r="J36" s="13"/>
      <c r="K36" s="13"/>
      <c r="M36" s="63" t="s">
        <v>67</v>
      </c>
      <c r="N36" s="63"/>
      <c r="O36" s="129">
        <f>-'Income Statemnt'!H29*$V$11</f>
        <v>-1343.8812587709324</v>
      </c>
      <c r="P36" s="129">
        <f>-'Income Statemnt'!I29*$V$11</f>
        <v>-1420.9443696717742</v>
      </c>
      <c r="Q36" s="129">
        <f>-'Income Statemnt'!J29*$V$11</f>
        <v>-1504.6868350955733</v>
      </c>
      <c r="R36" s="129">
        <f>-'Income Statemnt'!K29*$V$11</f>
        <v>-1593.609885379876</v>
      </c>
      <c r="S36" s="129">
        <f>-'Income Statemnt'!L29*$V$11</f>
        <v>-1688.62074663314</v>
      </c>
    </row>
    <row r="37" spans="1:19">
      <c r="A37" s="29"/>
      <c r="B37" s="29"/>
      <c r="C37" s="29"/>
      <c r="D37" s="29"/>
      <c r="F37" s="29"/>
      <c r="G37" s="329"/>
      <c r="H37" s="13"/>
      <c r="I37" s="15"/>
      <c r="J37" s="13"/>
      <c r="K37" s="13"/>
      <c r="M37" s="63"/>
      <c r="N37" s="63"/>
      <c r="O37" s="63"/>
      <c r="P37" s="63"/>
      <c r="Q37" s="63"/>
      <c r="R37" s="63"/>
      <c r="S37" s="63"/>
    </row>
    <row r="38" spans="1:19">
      <c r="A38" s="29"/>
      <c r="B38" s="29"/>
      <c r="C38" s="29"/>
      <c r="D38" s="29"/>
      <c r="F38" s="29"/>
      <c r="G38" s="329"/>
      <c r="H38" s="13"/>
      <c r="I38" s="15"/>
      <c r="J38" s="13"/>
      <c r="K38" s="13"/>
      <c r="M38" s="63" t="s">
        <v>79</v>
      </c>
      <c r="N38" s="63"/>
      <c r="O38" s="63"/>
      <c r="P38" s="63"/>
      <c r="Q38" s="63"/>
      <c r="R38" s="63"/>
      <c r="S38" s="63"/>
    </row>
    <row r="39" spans="1:19">
      <c r="A39" s="29"/>
      <c r="B39" s="29"/>
      <c r="C39" s="29"/>
      <c r="D39" s="29"/>
      <c r="F39" s="29"/>
      <c r="G39" s="329"/>
      <c r="H39" s="13"/>
      <c r="I39" s="15"/>
      <c r="J39" s="13"/>
      <c r="K39" s="13"/>
      <c r="M39" s="63" t="s">
        <v>62</v>
      </c>
      <c r="N39" s="63"/>
      <c r="O39" s="129">
        <f>'Income Statemnt'!H24</f>
        <v>126.91177878399073</v>
      </c>
      <c r="P39" s="129">
        <f>'Income Statemnt'!I24</f>
        <v>187.74161033818982</v>
      </c>
      <c r="Q39" s="129">
        <f>'Income Statemnt'!J24</f>
        <v>262.82103442207034</v>
      </c>
      <c r="R39" s="129">
        <f>'Income Statemnt'!K24</f>
        <v>352.58055232051697</v>
      </c>
      <c r="S39" s="129">
        <f>'Income Statemnt'!L24</f>
        <v>457.62286583236818</v>
      </c>
    </row>
    <row r="40" spans="1:19">
      <c r="A40" s="29"/>
      <c r="B40" s="29"/>
      <c r="C40" s="29"/>
      <c r="D40" s="29"/>
      <c r="F40" s="29"/>
      <c r="G40" s="329"/>
      <c r="H40" s="13"/>
      <c r="I40" s="15"/>
      <c r="J40" s="13"/>
      <c r="K40" s="13"/>
      <c r="M40" s="63" t="s">
        <v>65</v>
      </c>
      <c r="N40" s="63"/>
      <c r="O40" s="129">
        <f>'Balance sheet'!H21*'Income Statemnt'!$S$11</f>
        <v>263.19713261648747</v>
      </c>
      <c r="P40" s="129">
        <f>'Balance sheet'!I21*'Income Statemnt'!$S$11</f>
        <v>389.34962528510914</v>
      </c>
      <c r="Q40" s="129">
        <f>'Balance sheet'!J21*'Income Statemnt'!$S$11</f>
        <v>545.05376344086017</v>
      </c>
      <c r="R40" s="129">
        <f>'Balance sheet'!K21*'Income Statemnt'!$S$11</f>
        <v>731.20234604105565</v>
      </c>
      <c r="S40" s="129">
        <f>'Balance sheet'!L21*'Income Statemnt'!$S$11</f>
        <v>949.04529162593678</v>
      </c>
    </row>
    <row r="41" spans="1:19">
      <c r="A41" s="29"/>
      <c r="B41" s="29"/>
      <c r="C41" s="29"/>
      <c r="D41" s="29"/>
      <c r="F41" s="29"/>
      <c r="G41" s="329"/>
      <c r="H41" s="13"/>
      <c r="I41" s="15"/>
      <c r="J41" s="13"/>
      <c r="K41" s="13"/>
      <c r="M41" s="63" t="s">
        <v>67</v>
      </c>
      <c r="N41" s="63"/>
      <c r="O41" s="129">
        <f>'Balance sheet'!H21*'Income Statemnt'!$O$11</f>
        <v>7.636599130354333</v>
      </c>
      <c r="P41" s="129">
        <f>'Balance sheet'!I21*'Income Statemnt'!$O$11</f>
        <v>11.29688222777315</v>
      </c>
      <c r="Q41" s="129">
        <f>'Balance sheet'!J21*'Income Statemnt'!$O$11</f>
        <v>15.814598945323338</v>
      </c>
      <c r="R41" s="129">
        <f>'Balance sheet'!K21*'Income Statemnt'!$O$11</f>
        <v>21.215653621981676</v>
      </c>
      <c r="S41" s="129">
        <f>'Balance sheet'!L21*'Income Statemnt'!$O$11</f>
        <v>27.536312332315656</v>
      </c>
    </row>
    <row r="42" spans="1:19">
      <c r="A42" s="29"/>
      <c r="B42" s="29"/>
      <c r="C42" s="29"/>
      <c r="D42" s="29"/>
      <c r="F42" s="29"/>
      <c r="G42" s="329"/>
      <c r="H42" s="13"/>
      <c r="I42" s="15"/>
      <c r="J42" s="13"/>
      <c r="K42" s="13"/>
    </row>
    <row r="43" spans="1:19">
      <c r="A43" s="29"/>
      <c r="B43" s="29"/>
      <c r="C43" s="29"/>
      <c r="D43" s="29"/>
      <c r="F43" s="29"/>
      <c r="G43" s="329"/>
      <c r="H43" s="13"/>
      <c r="I43" s="15"/>
      <c r="J43" s="13"/>
      <c r="K43" s="13"/>
    </row>
    <row r="44" spans="1:19">
      <c r="A44" s="29"/>
      <c r="B44" s="29"/>
      <c r="C44" s="29"/>
      <c r="D44" s="29"/>
      <c r="F44" s="29"/>
      <c r="G44" s="329"/>
      <c r="H44" s="13"/>
      <c r="I44" s="15"/>
      <c r="J44" s="13"/>
      <c r="K44" s="13"/>
    </row>
    <row r="45" spans="1:19">
      <c r="A45" s="29"/>
      <c r="B45" s="29"/>
      <c r="C45" s="29"/>
      <c r="D45" s="29"/>
      <c r="F45" s="29"/>
      <c r="G45" s="329"/>
      <c r="H45" s="13"/>
      <c r="I45" s="15"/>
      <c r="J45" s="13"/>
      <c r="K45" s="13"/>
    </row>
    <row r="46" spans="1:19">
      <c r="A46" s="29"/>
      <c r="B46" s="29"/>
      <c r="C46" s="29"/>
      <c r="D46" s="29"/>
      <c r="F46" s="29"/>
      <c r="G46" s="329"/>
      <c r="H46" s="13"/>
      <c r="J46" s="13"/>
      <c r="K46" s="13"/>
    </row>
    <row r="47" spans="1:19">
      <c r="A47" s="278"/>
      <c r="B47" s="278"/>
      <c r="C47" s="278"/>
      <c r="D47" s="278"/>
      <c r="E47" s="278"/>
      <c r="F47" s="275"/>
      <c r="G47" s="344"/>
      <c r="H47" s="345"/>
      <c r="I47" s="278"/>
      <c r="J47" s="345"/>
    </row>
    <row r="48" spans="1:19">
      <c r="A48" s="343"/>
      <c r="B48" s="343"/>
      <c r="C48" s="343"/>
      <c r="D48" s="343"/>
      <c r="E48" s="278"/>
      <c r="F48" s="275"/>
      <c r="G48" s="344"/>
      <c r="H48" s="345"/>
      <c r="I48" s="346"/>
      <c r="J48" s="345"/>
    </row>
    <row r="49" spans="1:10">
      <c r="A49" s="347"/>
      <c r="B49" s="348"/>
      <c r="C49" s="349"/>
      <c r="D49" s="349"/>
      <c r="E49" s="278"/>
      <c r="F49" s="275"/>
      <c r="G49" s="344"/>
      <c r="H49" s="345"/>
      <c r="I49" s="346"/>
      <c r="J49" s="345"/>
    </row>
    <row r="50" spans="1:10">
      <c r="A50" s="350"/>
      <c r="B50" s="351"/>
      <c r="C50" s="351"/>
      <c r="D50" s="351"/>
      <c r="E50" s="278"/>
      <c r="F50" s="275"/>
      <c r="G50" s="344"/>
      <c r="H50" s="345"/>
      <c r="I50" s="346"/>
      <c r="J50" s="345"/>
    </row>
    <row r="51" spans="1:10">
      <c r="A51" s="278"/>
      <c r="B51" s="344"/>
      <c r="C51" s="344"/>
      <c r="D51" s="344"/>
      <c r="E51" s="278"/>
      <c r="F51" s="275"/>
      <c r="G51" s="344"/>
      <c r="H51" s="345"/>
      <c r="I51" s="346"/>
      <c r="J51" s="345"/>
    </row>
    <row r="52" spans="1:10">
      <c r="A52" s="350"/>
      <c r="B52" s="344"/>
      <c r="C52" s="344"/>
      <c r="D52" s="344"/>
      <c r="E52" s="278"/>
      <c r="F52" s="346"/>
      <c r="G52" s="346"/>
      <c r="H52" s="346"/>
      <c r="I52" s="346"/>
      <c r="J52" s="345"/>
    </row>
    <row r="53" spans="1:10">
      <c r="A53" s="352"/>
      <c r="B53" s="352"/>
      <c r="C53" s="352"/>
      <c r="D53" s="352"/>
      <c r="E53" s="278"/>
      <c r="F53" s="346"/>
      <c r="G53" s="346"/>
      <c r="H53" s="346"/>
      <c r="I53" s="346"/>
      <c r="J53" s="345"/>
    </row>
    <row r="54" spans="1:10">
      <c r="A54" s="278"/>
      <c r="B54" s="344"/>
      <c r="C54" s="344"/>
      <c r="D54" s="344"/>
      <c r="E54" s="344"/>
      <c r="F54" s="344"/>
      <c r="G54" s="344"/>
      <c r="H54" s="344"/>
      <c r="I54" s="344"/>
      <c r="J54" s="345"/>
    </row>
    <row r="55" spans="1:10">
      <c r="A55" s="330"/>
      <c r="B55" s="331"/>
      <c r="C55" s="344"/>
      <c r="D55" s="330" t="s">
        <v>41</v>
      </c>
      <c r="E55" s="331"/>
      <c r="F55" s="331"/>
      <c r="G55" s="331"/>
      <c r="H55" s="331"/>
      <c r="I55" s="331"/>
      <c r="J55" s="331"/>
    </row>
    <row r="56" spans="1:10">
      <c r="A56" s="347"/>
      <c r="B56" s="351"/>
      <c r="C56" s="344"/>
      <c r="D56" s="344"/>
      <c r="E56" s="344"/>
      <c r="F56" s="344"/>
      <c r="G56" s="344"/>
      <c r="H56" s="344"/>
      <c r="I56" s="344"/>
      <c r="J56" s="344"/>
    </row>
    <row r="57" spans="1:10">
      <c r="A57" s="347"/>
      <c r="B57" s="353"/>
      <c r="C57" s="344"/>
      <c r="D57" s="347"/>
      <c r="E57" s="347"/>
      <c r="F57" s="330" t="s">
        <v>43</v>
      </c>
      <c r="G57" s="331"/>
      <c r="H57" s="331"/>
      <c r="I57" s="331"/>
      <c r="J57" s="331"/>
    </row>
    <row r="58" spans="1:10">
      <c r="A58" s="347"/>
      <c r="B58" s="354"/>
      <c r="C58" s="344"/>
      <c r="D58" s="347"/>
      <c r="E58" s="334"/>
      <c r="F58" s="332"/>
      <c r="G58" s="332"/>
      <c r="H58" s="332"/>
      <c r="I58" s="332"/>
      <c r="J58" s="332"/>
    </row>
    <row r="59" spans="1:10">
      <c r="A59" s="347"/>
      <c r="B59" s="351"/>
      <c r="C59" s="344"/>
      <c r="D59" s="333" t="s">
        <v>34</v>
      </c>
      <c r="E59" s="332"/>
      <c r="F59" s="334"/>
      <c r="G59" s="334"/>
      <c r="H59" s="334"/>
      <c r="I59" s="334"/>
      <c r="J59" s="334"/>
    </row>
    <row r="60" spans="1:10">
      <c r="A60" s="347"/>
      <c r="B60" s="351"/>
      <c r="C60" s="351"/>
      <c r="D60" s="331"/>
      <c r="E60" s="332"/>
      <c r="F60" s="334"/>
      <c r="G60" s="334"/>
      <c r="H60" s="334"/>
      <c r="I60" s="334"/>
      <c r="J60" s="334"/>
    </row>
    <row r="61" spans="1:10">
      <c r="A61" s="347"/>
      <c r="B61" s="351"/>
      <c r="C61" s="344"/>
      <c r="D61" s="331"/>
      <c r="E61" s="332"/>
      <c r="F61" s="334"/>
      <c r="G61" s="334"/>
      <c r="H61" s="335"/>
      <c r="I61" s="334"/>
      <c r="J61" s="334"/>
    </row>
    <row r="62" spans="1:10">
      <c r="A62" s="355"/>
      <c r="B62" s="351"/>
      <c r="C62" s="344"/>
      <c r="D62" s="331"/>
      <c r="E62" s="332"/>
      <c r="F62" s="334"/>
      <c r="G62" s="334"/>
      <c r="H62" s="334"/>
      <c r="I62" s="334"/>
      <c r="J62" s="334"/>
    </row>
    <row r="63" spans="1:10">
      <c r="A63" s="355"/>
      <c r="B63" s="351"/>
      <c r="C63" s="344"/>
      <c r="D63" s="331"/>
      <c r="E63" s="332"/>
      <c r="F63" s="334"/>
      <c r="G63" s="334"/>
      <c r="H63" s="334"/>
      <c r="I63" s="334"/>
      <c r="J63" s="334"/>
    </row>
    <row r="64" spans="1:10">
      <c r="A64" s="355"/>
      <c r="B64" s="351"/>
      <c r="C64" s="344"/>
      <c r="D64" s="344"/>
      <c r="E64" s="344"/>
      <c r="F64" s="344"/>
      <c r="G64" s="344"/>
      <c r="H64" s="344"/>
      <c r="I64" s="344"/>
      <c r="J64" s="344"/>
    </row>
    <row r="65" spans="1:10">
      <c r="A65" s="347"/>
      <c r="B65" s="351"/>
      <c r="C65" s="344"/>
      <c r="D65" s="344"/>
      <c r="E65" s="344"/>
      <c r="F65" s="344"/>
      <c r="G65" s="344"/>
      <c r="H65" s="344"/>
      <c r="I65" s="344"/>
      <c r="J65" s="344"/>
    </row>
    <row r="66" spans="1:10">
      <c r="A66" s="347"/>
      <c r="B66" s="356"/>
      <c r="C66" s="344"/>
      <c r="D66" s="344"/>
      <c r="E66" s="344"/>
      <c r="F66" s="344"/>
      <c r="G66" s="344"/>
      <c r="H66" s="344"/>
      <c r="I66" s="344"/>
      <c r="J66" s="344"/>
    </row>
    <row r="67" spans="1:10">
      <c r="A67" s="352"/>
      <c r="B67" s="357"/>
      <c r="C67" s="344"/>
      <c r="D67" s="344"/>
      <c r="E67" s="344"/>
      <c r="F67" s="344"/>
      <c r="G67" s="344"/>
      <c r="H67" s="344"/>
      <c r="I67" s="344"/>
      <c r="J67" s="344"/>
    </row>
    <row r="68" spans="1:10">
      <c r="B68" s="329"/>
      <c r="C68" s="329"/>
      <c r="D68" s="329"/>
      <c r="E68" s="329"/>
      <c r="F68" s="329"/>
      <c r="G68" s="329"/>
      <c r="H68" s="329"/>
      <c r="I68" s="329"/>
      <c r="J68" s="329"/>
    </row>
    <row r="69" spans="1:10">
      <c r="B69" s="329"/>
      <c r="C69" s="329"/>
      <c r="D69" s="329"/>
      <c r="E69" s="329"/>
      <c r="F69" s="329"/>
      <c r="G69" s="329"/>
      <c r="H69" s="329"/>
      <c r="I69" s="329"/>
      <c r="J69" s="329"/>
    </row>
  </sheetData>
  <mergeCells count="7">
    <mergeCell ref="F57:J57"/>
    <mergeCell ref="D59:D63"/>
    <mergeCell ref="B2:F2"/>
    <mergeCell ref="A1:F1"/>
    <mergeCell ref="B25:F25"/>
    <mergeCell ref="A55:B55"/>
    <mergeCell ref="D55:J55"/>
  </mergeCells>
  <dataValidations count="1">
    <dataValidation type="list" allowBlank="1" showInputMessage="1" showErrorMessage="1" sqref="I4" xr:uid="{9B595D24-48FC-4DC0-ACF2-6157CBA90727}">
      <formula1>"1,2,3"</formula1>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5893-2B72-4511-BFAB-56C5E6F656DD}">
  <dimension ref="A2:AC22"/>
  <sheetViews>
    <sheetView workbookViewId="0">
      <selection activeCell="G23" sqref="G23"/>
    </sheetView>
  </sheetViews>
  <sheetFormatPr defaultRowHeight="15"/>
  <cols>
    <col min="1" max="1" width="41.85546875" customWidth="1"/>
    <col min="17" max="17" width="11.28515625" customWidth="1"/>
    <col min="18" max="18" width="10.140625" customWidth="1"/>
  </cols>
  <sheetData>
    <row r="2" spans="1:29">
      <c r="A2" s="28" t="s">
        <v>36</v>
      </c>
      <c r="B2" s="299" t="s">
        <v>91</v>
      </c>
      <c r="C2" s="299"/>
      <c r="D2" s="299"/>
      <c r="E2" s="299"/>
      <c r="F2" s="299"/>
      <c r="G2" s="300" t="s">
        <v>55</v>
      </c>
      <c r="H2" s="300"/>
      <c r="I2" s="300"/>
      <c r="J2" s="300"/>
      <c r="K2" s="300"/>
      <c r="N2" s="134" t="s">
        <v>92</v>
      </c>
      <c r="O2" s="58"/>
      <c r="P2" s="58"/>
      <c r="Q2" s="58"/>
      <c r="R2" s="58"/>
      <c r="S2" s="76"/>
    </row>
    <row r="3" spans="1:29">
      <c r="B3" s="15">
        <v>2021</v>
      </c>
      <c r="C3" s="15">
        <v>2022</v>
      </c>
      <c r="D3" s="15">
        <v>2023</v>
      </c>
      <c r="E3" s="15">
        <v>2024</v>
      </c>
      <c r="F3" s="15">
        <v>2025</v>
      </c>
      <c r="G3" s="15">
        <v>2026</v>
      </c>
      <c r="H3" s="15">
        <v>2027</v>
      </c>
      <c r="I3" s="15">
        <v>2028</v>
      </c>
      <c r="J3" s="15">
        <v>2029</v>
      </c>
      <c r="K3" s="15">
        <v>20230</v>
      </c>
      <c r="N3" s="135">
        <v>2021</v>
      </c>
      <c r="O3" s="126">
        <v>2022</v>
      </c>
      <c r="P3" s="126">
        <v>2023</v>
      </c>
      <c r="Q3" s="126">
        <v>2024</v>
      </c>
      <c r="R3" s="126">
        <v>2025</v>
      </c>
      <c r="S3" s="136" t="s">
        <v>93</v>
      </c>
    </row>
    <row r="4" spans="1:29">
      <c r="A4" t="s">
        <v>60</v>
      </c>
      <c r="B4" s="29">
        <f>'Income Statemnt'!C6</f>
        <v>30953.9</v>
      </c>
      <c r="C4" s="29">
        <f>'Income Statemnt'!D6</f>
        <v>34028.9</v>
      </c>
      <c r="D4" s="29">
        <f>'Income Statemnt'!E6</f>
        <v>37388.5</v>
      </c>
      <c r="E4" s="29">
        <f>'Income Statemnt'!F6</f>
        <v>33494</v>
      </c>
      <c r="F4" s="29">
        <f>'Income Statemnt'!G6</f>
        <v>34392</v>
      </c>
      <c r="G4" s="29">
        <f>'Income Statemnt'!H6</f>
        <v>35429.923491868445</v>
      </c>
      <c r="H4" s="29">
        <f>'Income Statemnt'!I6</f>
        <v>36499.170697826572</v>
      </c>
      <c r="I4" s="29">
        <f>'Income Statemnt'!J6</f>
        <v>37600.686942912362</v>
      </c>
      <c r="J4" s="29">
        <f>'Income Statemnt'!K6</f>
        <v>38735.446081329428</v>
      </c>
      <c r="K4" s="29">
        <f>'Income Statemnt'!L6</f>
        <v>39904.45135743478</v>
      </c>
      <c r="N4" s="130">
        <f>-B10/'Balance sheet'!C6</f>
        <v>0.14483909758242547</v>
      </c>
      <c r="O4" s="107">
        <f>-C10/'Balance sheet'!D6</f>
        <v>0.14788901877191776</v>
      </c>
      <c r="P4" s="107">
        <f>-D10/'Balance sheet'!E6</f>
        <v>0.16271186440677965</v>
      </c>
      <c r="Q4" s="107">
        <f>-E10/'Balance sheet'!F6</f>
        <v>0.17433414043583534</v>
      </c>
      <c r="R4" s="107">
        <f>-F10/'Balance sheet'!G6</f>
        <v>0.16178943827783385</v>
      </c>
      <c r="S4" s="108">
        <f>AVERAGE(N4:Q4)</f>
        <v>0.15744353029923958</v>
      </c>
    </row>
    <row r="5" spans="1:29">
      <c r="A5" s="8" t="s">
        <v>94</v>
      </c>
      <c r="B5" s="29">
        <f>'Income Statemnt'!C7</f>
        <v>-22143.7</v>
      </c>
      <c r="C5" s="29">
        <f>'Income Statemnt'!D7</f>
        <v>-23713.1</v>
      </c>
      <c r="D5" s="29">
        <f>'Income Statemnt'!E7</f>
        <v>-27048.2</v>
      </c>
      <c r="E5" s="29">
        <f>'Income Statemnt'!F7</f>
        <v>-23740</v>
      </c>
      <c r="F5" s="29">
        <f>'Income Statemnt'!G7</f>
        <v>-23620</v>
      </c>
      <c r="G5" s="29">
        <f>'Income Statemnt'!H7</f>
        <v>-24163.26</v>
      </c>
      <c r="H5" s="29">
        <f>'Income Statemnt'!I7</f>
        <v>-24719.014979999996</v>
      </c>
      <c r="I5" s="29">
        <f>'Income Statemnt'!J7</f>
        <v>-25287.552324539993</v>
      </c>
      <c r="J5" s="29">
        <f>'Income Statemnt'!K7</f>
        <v>-25869.166028004409</v>
      </c>
      <c r="K5" s="29">
        <f>'Income Statemnt'!L7</f>
        <v>-26464.156846648508</v>
      </c>
      <c r="N5" s="131"/>
      <c r="O5" s="132"/>
      <c r="P5" s="132"/>
      <c r="Q5" s="132"/>
      <c r="R5" s="132"/>
      <c r="S5" s="133"/>
    </row>
    <row r="6" spans="1:29">
      <c r="A6" s="26" t="s">
        <v>69</v>
      </c>
      <c r="B6" s="30">
        <f>B4+B5</f>
        <v>8810.2000000000007</v>
      </c>
      <c r="C6" s="30">
        <f t="shared" ref="C6:K6" si="0">C4+C5</f>
        <v>10315.800000000003</v>
      </c>
      <c r="D6" s="30">
        <f t="shared" si="0"/>
        <v>10340.299999999999</v>
      </c>
      <c r="E6" s="30">
        <f t="shared" si="0"/>
        <v>9754</v>
      </c>
      <c r="F6" s="30">
        <f t="shared" si="0"/>
        <v>10772</v>
      </c>
      <c r="G6" s="30">
        <f t="shared" si="0"/>
        <v>11266.663491868447</v>
      </c>
      <c r="H6" s="30">
        <f t="shared" si="0"/>
        <v>11780.155717826576</v>
      </c>
      <c r="I6" s="30">
        <f t="shared" si="0"/>
        <v>12313.134618372369</v>
      </c>
      <c r="J6" s="30">
        <f t="shared" si="0"/>
        <v>12866.280053325019</v>
      </c>
      <c r="K6" s="30">
        <f t="shared" si="0"/>
        <v>13440.294510786272</v>
      </c>
      <c r="R6" s="80"/>
      <c r="S6" s="80"/>
    </row>
    <row r="7" spans="1:29">
      <c r="A7" t="s">
        <v>95</v>
      </c>
      <c r="B7" s="15">
        <f>'Income Statemnt'!C10</f>
        <v>-6626.4</v>
      </c>
      <c r="C7" s="15">
        <f>'Income Statemnt'!D10</f>
        <v>-7091.4</v>
      </c>
      <c r="D7" s="15">
        <f>'Income Statemnt'!E10</f>
        <v>-7449</v>
      </c>
      <c r="E7" s="15">
        <f>'Income Statemnt'!F10</f>
        <v>-7030</v>
      </c>
      <c r="F7" s="15">
        <f>'Income Statemnt'!G10</f>
        <v>-7098</v>
      </c>
      <c r="G7" s="15">
        <f>'Income Statemnt'!H10</f>
        <v>-7417.41</v>
      </c>
      <c r="H7" s="15">
        <f>'Income Statemnt'!I10</f>
        <v>-7751.1934499999988</v>
      </c>
      <c r="I7" s="15">
        <f>'Income Statemnt'!J10</f>
        <v>-8099.9971552499983</v>
      </c>
      <c r="J7" s="15">
        <f>'Income Statemnt'!K10</f>
        <v>-8464.497027236248</v>
      </c>
      <c r="K7" s="15">
        <f>'Income Statemnt'!L10</f>
        <v>-8845.3993934618793</v>
      </c>
    </row>
    <row r="8" spans="1:29">
      <c r="B8" s="15"/>
      <c r="C8" s="15"/>
      <c r="D8" s="15"/>
      <c r="E8" s="15"/>
      <c r="F8" s="15"/>
      <c r="G8" s="15"/>
      <c r="H8" s="15"/>
      <c r="I8" s="15"/>
      <c r="J8" s="15"/>
      <c r="K8" s="15"/>
    </row>
    <row r="9" spans="1:29">
      <c r="A9" s="100" t="s">
        <v>96</v>
      </c>
      <c r="B9" s="101">
        <f>B6+B7</f>
        <v>2183.8000000000011</v>
      </c>
      <c r="C9" s="101">
        <f t="shared" ref="C9:K9" si="1">C6+C7</f>
        <v>3224.4000000000033</v>
      </c>
      <c r="D9" s="101">
        <f t="shared" si="1"/>
        <v>2891.2999999999993</v>
      </c>
      <c r="E9" s="101">
        <f t="shared" si="1"/>
        <v>2724</v>
      </c>
      <c r="F9" s="101">
        <f t="shared" si="1"/>
        <v>3674</v>
      </c>
      <c r="G9" s="101">
        <f t="shared" si="1"/>
        <v>3849.2534918684469</v>
      </c>
      <c r="H9" s="101">
        <f t="shared" si="1"/>
        <v>4028.9622678265769</v>
      </c>
      <c r="I9" s="101">
        <f t="shared" si="1"/>
        <v>4213.1374631223707</v>
      </c>
      <c r="J9" s="101">
        <f t="shared" si="1"/>
        <v>4401.7830260887713</v>
      </c>
      <c r="K9" s="101">
        <f t="shared" si="1"/>
        <v>4594.8951173243931</v>
      </c>
    </row>
    <row r="10" spans="1:29">
      <c r="A10" t="s">
        <v>97</v>
      </c>
      <c r="B10" s="15">
        <v>-807</v>
      </c>
      <c r="C10" s="15">
        <v>-860.3</v>
      </c>
      <c r="D10" s="15">
        <v>-950.4</v>
      </c>
      <c r="E10" s="15">
        <v>-1008</v>
      </c>
      <c r="F10" s="15">
        <v>-962</v>
      </c>
      <c r="G10" s="15">
        <f>-'Balance sheet'!H6*S4</f>
        <v>-1093.595538741461</v>
      </c>
      <c r="H10" s="15">
        <f>-'Balance sheet'!I6*$S$4</f>
        <v>-1277.5083154115123</v>
      </c>
      <c r="I10" s="15">
        <f>-'Balance sheet'!J6*$S$4</f>
        <v>-1492.3501771264912</v>
      </c>
      <c r="J10" s="15">
        <f>-'Balance sheet'!K6*$S$4</f>
        <v>-1743.3225477300091</v>
      </c>
      <c r="K10" s="15">
        <f>-'Balance sheet'!L6*$S$4</f>
        <v>-2036.5015879019461</v>
      </c>
    </row>
    <row r="11" spans="1:29">
      <c r="B11" s="15"/>
      <c r="C11" s="15"/>
      <c r="D11" s="15"/>
      <c r="E11" s="15"/>
      <c r="F11" s="15"/>
      <c r="G11" s="15"/>
      <c r="H11" s="15"/>
      <c r="I11" s="15"/>
      <c r="J11" s="15"/>
      <c r="K11" s="15"/>
      <c r="T11" s="80"/>
      <c r="U11" s="80"/>
      <c r="V11" s="80"/>
      <c r="W11" s="80"/>
      <c r="X11" s="90"/>
      <c r="Y11" s="80"/>
      <c r="Z11" s="80"/>
      <c r="AA11" s="80"/>
      <c r="AB11" s="80"/>
      <c r="AC11" s="80"/>
    </row>
    <row r="12" spans="1:29">
      <c r="A12" s="102" t="s">
        <v>98</v>
      </c>
      <c r="B12" s="103">
        <f>B9+B10</f>
        <v>1376.8000000000011</v>
      </c>
      <c r="C12" s="103">
        <f t="shared" ref="C12:F12" si="2">C9+C10</f>
        <v>2364.1000000000031</v>
      </c>
      <c r="D12" s="103">
        <f t="shared" si="2"/>
        <v>1940.8999999999992</v>
      </c>
      <c r="E12" s="103">
        <f>E9+E10</f>
        <v>1716</v>
      </c>
      <c r="F12" s="103">
        <f t="shared" si="2"/>
        <v>2712</v>
      </c>
      <c r="G12" s="103">
        <f>G9+G10</f>
        <v>2755.6579531269858</v>
      </c>
      <c r="H12" s="103">
        <f>H9+H10</f>
        <v>2751.4539524150646</v>
      </c>
      <c r="I12" s="103">
        <f>I9+I10</f>
        <v>2720.7872859958798</v>
      </c>
      <c r="J12" s="103">
        <f>J9+J10</f>
        <v>2658.460478358762</v>
      </c>
      <c r="K12" s="103">
        <f>K9+K10</f>
        <v>2558.393529422447</v>
      </c>
      <c r="P12" s="14"/>
      <c r="R12" s="80"/>
      <c r="S12" s="80"/>
      <c r="T12" s="80"/>
      <c r="U12" s="80"/>
      <c r="V12" s="80"/>
      <c r="W12" s="80"/>
      <c r="X12" s="80"/>
      <c r="Y12" s="80"/>
      <c r="Z12" s="80"/>
      <c r="AA12" s="80"/>
      <c r="AB12" s="80"/>
      <c r="AC12" s="80"/>
    </row>
    <row r="13" spans="1:29">
      <c r="A13" t="s">
        <v>99</v>
      </c>
      <c r="B13" s="15">
        <f>'Income Statemnt'!C32</f>
        <v>-596.70000000000005</v>
      </c>
      <c r="C13" s="15">
        <f>'Income Statemnt'!D32</f>
        <v>-1019.5</v>
      </c>
      <c r="D13" s="15">
        <f>'Income Statemnt'!E32</f>
        <v>-817.1</v>
      </c>
      <c r="E13" s="15">
        <f>'Income Statemnt'!F32</f>
        <v>-724</v>
      </c>
      <c r="F13" s="15">
        <f>'Income Statemnt'!G32</f>
        <v>-1912</v>
      </c>
      <c r="G13" s="15">
        <f>'Income Statemnt'!H32</f>
        <v>-1209.4931328938392</v>
      </c>
      <c r="H13" s="15">
        <f>'Income Statemnt'!I32</f>
        <v>-1278.8499327045968</v>
      </c>
      <c r="I13" s="15">
        <f>'Income Statemnt'!J32</f>
        <v>-1354.2181515860161</v>
      </c>
      <c r="J13" s="15">
        <f>'Income Statemnt'!K32</f>
        <v>-1434.2488968418886</v>
      </c>
      <c r="K13" s="15">
        <f>'Income Statemnt'!L32</f>
        <v>-1519.7586719698261</v>
      </c>
      <c r="R13" s="80"/>
      <c r="S13" s="80"/>
      <c r="T13" s="80"/>
      <c r="U13" s="80"/>
      <c r="V13" s="80"/>
      <c r="W13" s="80"/>
      <c r="X13" s="80"/>
      <c r="Y13" s="80"/>
      <c r="Z13" s="80"/>
      <c r="AA13" s="80"/>
      <c r="AB13" s="80"/>
      <c r="AC13" s="80"/>
    </row>
    <row r="14" spans="1:29">
      <c r="B14" s="15"/>
      <c r="C14" s="15"/>
      <c r="D14" s="15"/>
      <c r="E14" s="15"/>
      <c r="F14" s="15"/>
      <c r="G14" s="15"/>
      <c r="H14" s="15"/>
      <c r="I14" s="15"/>
      <c r="J14" s="15"/>
      <c r="K14" s="15"/>
      <c r="R14" s="80"/>
      <c r="S14" s="80"/>
      <c r="T14" s="80"/>
      <c r="U14" s="80"/>
      <c r="V14" s="80"/>
      <c r="W14" s="80"/>
      <c r="X14" s="80"/>
      <c r="Y14" s="80"/>
      <c r="Z14" s="80"/>
      <c r="AA14" s="80"/>
      <c r="AB14" s="80"/>
      <c r="AC14" s="80"/>
    </row>
    <row r="15" spans="1:29">
      <c r="A15" s="27" t="s">
        <v>100</v>
      </c>
      <c r="B15" s="104">
        <f>B12+B13</f>
        <v>780.10000000000105</v>
      </c>
      <c r="C15" s="104">
        <f t="shared" ref="C15:K15" si="3">C12+C13</f>
        <v>1344.6000000000031</v>
      </c>
      <c r="D15" s="104">
        <f t="shared" si="3"/>
        <v>1123.7999999999993</v>
      </c>
      <c r="E15" s="104">
        <f t="shared" si="3"/>
        <v>992</v>
      </c>
      <c r="F15" s="104">
        <f t="shared" si="3"/>
        <v>800</v>
      </c>
      <c r="G15" s="104">
        <f t="shared" si="3"/>
        <v>1546.1648202331467</v>
      </c>
      <c r="H15" s="104">
        <f>H12+H13</f>
        <v>1472.6040197104678</v>
      </c>
      <c r="I15" s="104">
        <f t="shared" si="3"/>
        <v>1366.5691344098636</v>
      </c>
      <c r="J15" s="104">
        <f t="shared" si="3"/>
        <v>1224.2115815168734</v>
      </c>
      <c r="K15" s="104">
        <f t="shared" si="3"/>
        <v>1038.634857452621</v>
      </c>
      <c r="R15" s="80"/>
      <c r="S15" s="80"/>
      <c r="T15" s="80"/>
      <c r="U15" s="80"/>
      <c r="V15" s="80"/>
      <c r="W15" s="80"/>
      <c r="X15" s="80"/>
      <c r="Y15" s="80"/>
      <c r="Z15" s="80"/>
      <c r="AA15" s="80"/>
      <c r="AB15" s="80"/>
      <c r="AC15" s="80"/>
    </row>
    <row r="16" spans="1:29">
      <c r="A16" t="s">
        <v>101</v>
      </c>
      <c r="B16" s="15">
        <f>B10</f>
        <v>-807</v>
      </c>
      <c r="C16" s="15">
        <f t="shared" ref="C16:K16" si="4">C10</f>
        <v>-860.3</v>
      </c>
      <c r="D16" s="15">
        <f t="shared" si="4"/>
        <v>-950.4</v>
      </c>
      <c r="E16" s="15">
        <f t="shared" si="4"/>
        <v>-1008</v>
      </c>
      <c r="F16" s="15">
        <f t="shared" si="4"/>
        <v>-962</v>
      </c>
      <c r="G16" s="15">
        <f t="shared" si="4"/>
        <v>-1093.595538741461</v>
      </c>
      <c r="H16" s="15">
        <f t="shared" si="4"/>
        <v>-1277.5083154115123</v>
      </c>
      <c r="I16" s="15">
        <f t="shared" si="4"/>
        <v>-1492.3501771264912</v>
      </c>
      <c r="J16" s="15">
        <f t="shared" si="4"/>
        <v>-1743.3225477300091</v>
      </c>
      <c r="K16" s="15">
        <f t="shared" si="4"/>
        <v>-2036.5015879019461</v>
      </c>
    </row>
    <row r="17" spans="1:12">
      <c r="A17" t="s">
        <v>102</v>
      </c>
      <c r="B17" s="15">
        <f>'Cash flow'!C18</f>
        <v>-1013.7</v>
      </c>
      <c r="C17" s="15">
        <f>'Cash flow'!D18</f>
        <v>-1004</v>
      </c>
      <c r="D17" s="15">
        <f>'Cash flow'!E18</f>
        <v>-1212.5999999999999</v>
      </c>
      <c r="E17" s="15">
        <f>'Cash flow'!F18</f>
        <v>-970.4</v>
      </c>
      <c r="F17" s="15">
        <f>'Cash flow'!G18</f>
        <v>-1189</v>
      </c>
      <c r="G17" s="15">
        <f>'Cash flow'!H18</f>
        <v>-1121.2140319378113</v>
      </c>
      <c r="H17" s="15">
        <f>'Cash flow'!I18</f>
        <v>-1155.0513889731913</v>
      </c>
      <c r="I17" s="15">
        <f>'Cash flow'!J18</f>
        <v>-1189.9099308122977</v>
      </c>
      <c r="J17" s="15">
        <f>'Cash flow'!K18</f>
        <v>-1225.8204760087865</v>
      </c>
      <c r="K17" s="15">
        <f>'Cash flow'!L18</f>
        <v>-1262.8147731960066</v>
      </c>
    </row>
    <row r="18" spans="1:12">
      <c r="A18" t="s">
        <v>103</v>
      </c>
      <c r="B18" s="31"/>
      <c r="C18" s="15">
        <f>C19-B19</f>
        <v>1560.4000000000005</v>
      </c>
      <c r="D18" s="15">
        <f t="shared" ref="D18:K18" si="5">D19-C19</f>
        <v>2453.9999999999991</v>
      </c>
      <c r="E18" s="15">
        <f t="shared" si="5"/>
        <v>-939</v>
      </c>
      <c r="F18" s="15">
        <f t="shared" si="5"/>
        <v>-1291</v>
      </c>
      <c r="G18" s="15">
        <f t="shared" si="5"/>
        <v>-6594.7341097492026</v>
      </c>
      <c r="H18" s="15">
        <f t="shared" si="5"/>
        <v>7078.6776495827198</v>
      </c>
      <c r="I18" s="15">
        <f t="shared" si="5"/>
        <v>158.26771922654552</v>
      </c>
      <c r="J18" s="15">
        <f t="shared" si="5"/>
        <v>162.76529892545113</v>
      </c>
      <c r="K18" s="15">
        <f t="shared" si="5"/>
        <v>167.39219928330022</v>
      </c>
    </row>
    <row r="19" spans="1:12">
      <c r="A19" t="s">
        <v>104</v>
      </c>
      <c r="B19" s="31">
        <f>B20-B21</f>
        <v>3377.6000000000004</v>
      </c>
      <c r="C19" s="15">
        <f>C20-C21</f>
        <v>4938.0000000000009</v>
      </c>
      <c r="D19" s="15">
        <f t="shared" ref="D19:F19" si="6">D20-D21</f>
        <v>7392</v>
      </c>
      <c r="E19" s="15">
        <f t="shared" si="6"/>
        <v>6453</v>
      </c>
      <c r="F19" s="15">
        <f t="shared" si="6"/>
        <v>5162</v>
      </c>
      <c r="G19" s="15">
        <f>G20-G21</f>
        <v>-1432.7341097492026</v>
      </c>
      <c r="H19" s="15">
        <f t="shared" ref="H19" si="7">H20-H21</f>
        <v>5645.9435398335172</v>
      </c>
      <c r="I19" s="15">
        <f t="shared" ref="I19" si="8">I20-I21</f>
        <v>5804.2112590600627</v>
      </c>
      <c r="J19" s="15">
        <f t="shared" ref="J19" si="9">J20-J21</f>
        <v>5966.9765579855139</v>
      </c>
      <c r="K19" s="15">
        <f>K20-K21</f>
        <v>6134.3687572688141</v>
      </c>
    </row>
    <row r="20" spans="1:12">
      <c r="A20" t="s">
        <v>105</v>
      </c>
      <c r="B20" s="15">
        <f>'Net Working Capital'!D8-'Net Working Capital'!D7</f>
        <v>9036.2000000000007</v>
      </c>
      <c r="C20" s="15">
        <f>'Net Working Capital'!E8-'Net Working Capital'!E7</f>
        <v>11080.1</v>
      </c>
      <c r="D20" s="15">
        <f>'Net Working Capital'!F8-'Net Working Capital'!F7</f>
        <v>12193</v>
      </c>
      <c r="E20" s="15">
        <f>'Net Working Capital'!G8-'Net Working Capital'!G7</f>
        <v>11798</v>
      </c>
      <c r="F20" s="15">
        <f>'Net Working Capital'!H8-'Net Working Capital'!H7</f>
        <v>12019</v>
      </c>
      <c r="G20" s="15">
        <f>'Net Working Capital'!I8-'Net Working Capital'!I7</f>
        <v>4331.9668954869812</v>
      </c>
      <c r="H20" s="15">
        <f>'Net Working Capital'!J8-'Net Working Capital'!J7</f>
        <v>11546.754067107053</v>
      </c>
      <c r="I20" s="15">
        <f>'Net Working Capital'!K8-'Net Working Capital'!K7</f>
        <v>11844.368100425614</v>
      </c>
      <c r="J20" s="15">
        <f>'Net Working Capital'!L8-'Net Working Capital'!L7</f>
        <v>12149.794158951943</v>
      </c>
      <c r="K20" s="15">
        <f>'Net Working Capital'!M8-'Net Working Capital'!M7</f>
        <v>12463.241099620514</v>
      </c>
    </row>
    <row r="21" spans="1:12">
      <c r="A21" t="s">
        <v>106</v>
      </c>
      <c r="B21" s="15">
        <f>'Net Working Capital'!D11+'Net Working Capital'!D12</f>
        <v>5658.6</v>
      </c>
      <c r="C21" s="15">
        <f>'Net Working Capital'!E11+'Net Working Capital'!E12</f>
        <v>6142.0999999999995</v>
      </c>
      <c r="D21" s="15">
        <f>'Net Working Capital'!F11+'Net Working Capital'!F12</f>
        <v>4801</v>
      </c>
      <c r="E21" s="15">
        <f>'Net Working Capital'!G11+'Net Working Capital'!G12</f>
        <v>5345</v>
      </c>
      <c r="F21" s="15">
        <f>'Net Working Capital'!H11+'Net Working Capital'!H12</f>
        <v>6857</v>
      </c>
      <c r="G21" s="15">
        <f>'Net Working Capital'!I11+'Net Working Capital'!I12</f>
        <v>5764.7010052361838</v>
      </c>
      <c r="H21" s="15">
        <f>'Net Working Capital'!J11+'Net Working Capital'!J12</f>
        <v>5900.8105272735356</v>
      </c>
      <c r="I21" s="15">
        <f>'Net Working Capital'!K11+'Net Working Capital'!K12</f>
        <v>6040.1568413655514</v>
      </c>
      <c r="J21" s="15">
        <f>'Net Working Capital'!L11+'Net Working Capital'!L12</f>
        <v>6182.8176009664294</v>
      </c>
      <c r="K21" s="15">
        <f>'Net Working Capital'!M11+'Net Working Capital'!M12</f>
        <v>6328.8723423517004</v>
      </c>
    </row>
    <row r="22" spans="1:12">
      <c r="A22" s="27" t="s">
        <v>36</v>
      </c>
      <c r="B22" s="104">
        <f>B15+(-B16)+B17-B18</f>
        <v>573.400000000001</v>
      </c>
      <c r="C22" s="104">
        <f>C15+(-C16)+C17-C18</f>
        <v>-359.49999999999727</v>
      </c>
      <c r="D22" s="104">
        <f t="shared" ref="D22:K22" si="10">D15+(-D16)+D17-D18</f>
        <v>-1592.3999999999996</v>
      </c>
      <c r="E22" s="104">
        <f t="shared" si="10"/>
        <v>1968.6</v>
      </c>
      <c r="F22" s="104">
        <f t="shared" si="10"/>
        <v>1864</v>
      </c>
      <c r="G22" s="104">
        <f>G15+(-G16)+G17-G18</f>
        <v>8113.280436785999</v>
      </c>
      <c r="H22" s="104">
        <f t="shared" si="10"/>
        <v>-5483.6167034339305</v>
      </c>
      <c r="I22" s="104">
        <f t="shared" si="10"/>
        <v>1510.7416614975118</v>
      </c>
      <c r="J22" s="104">
        <f t="shared" si="10"/>
        <v>1578.9483543126448</v>
      </c>
      <c r="K22" s="104">
        <f t="shared" si="10"/>
        <v>1644.9294728752602</v>
      </c>
      <c r="L22" s="90"/>
    </row>
  </sheetData>
  <mergeCells count="2">
    <mergeCell ref="B2:F2"/>
    <mergeCell ref="G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2"/>
  <sheetViews>
    <sheetView topLeftCell="B1" zoomScale="50" zoomScaleNormal="50" workbookViewId="0">
      <selection activeCell="BF103" sqref="BF103"/>
    </sheetView>
  </sheetViews>
  <sheetFormatPr defaultColWidth="8.5703125" defaultRowHeight="15"/>
  <cols>
    <col min="1" max="1" width="26.140625" style="1" customWidth="1"/>
    <col min="2" max="4" width="13.7109375" bestFit="1" customWidth="1"/>
    <col min="5" max="5" width="14.42578125" bestFit="1" customWidth="1"/>
    <col min="6" max="6" width="13.7109375" bestFit="1" customWidth="1"/>
  </cols>
  <sheetData>
    <row r="1" spans="1:14">
      <c r="A1" s="270" t="s">
        <v>107</v>
      </c>
      <c r="B1" s="271">
        <v>2021</v>
      </c>
      <c r="C1" s="271">
        <v>2022</v>
      </c>
      <c r="D1" s="271">
        <v>2023</v>
      </c>
      <c r="E1" s="271">
        <v>2024</v>
      </c>
      <c r="F1" s="272">
        <v>2025</v>
      </c>
      <c r="G1" s="273">
        <v>2026</v>
      </c>
      <c r="H1" s="273">
        <v>2027</v>
      </c>
      <c r="I1" s="273">
        <v>2028</v>
      </c>
      <c r="J1" s="282">
        <v>2029</v>
      </c>
      <c r="K1" s="287">
        <v>2030</v>
      </c>
      <c r="L1" s="253"/>
      <c r="M1" s="253"/>
      <c r="N1" s="253"/>
    </row>
    <row r="2" spans="1:14">
      <c r="A2" s="83" t="s">
        <v>64</v>
      </c>
      <c r="B2" s="252">
        <f>'Income Statemnt'!C6</f>
        <v>30953.9</v>
      </c>
      <c r="C2" s="252">
        <f>'Income Statemnt'!D6</f>
        <v>34028.9</v>
      </c>
      <c r="D2" s="252">
        <f>'Income Statemnt'!E6</f>
        <v>37388.5</v>
      </c>
      <c r="E2" s="252">
        <f>'Income Statemnt'!F6</f>
        <v>33494</v>
      </c>
      <c r="F2" s="252">
        <f>'Income Statemnt'!G6</f>
        <v>34392</v>
      </c>
      <c r="G2" s="252">
        <f>'Income Statemnt'!H6</f>
        <v>35429.923491868445</v>
      </c>
      <c r="H2" s="252">
        <f>'Income Statemnt'!I6</f>
        <v>36499.170697826572</v>
      </c>
      <c r="I2" s="252">
        <f>'Income Statemnt'!J6</f>
        <v>37600.686942912362</v>
      </c>
      <c r="J2" s="252">
        <f>'Income Statemnt'!K6</f>
        <v>38735.446081329428</v>
      </c>
      <c r="K2" s="283">
        <f>'Income Statemnt'!L6</f>
        <v>39904.45135743478</v>
      </c>
      <c r="L2" s="253"/>
      <c r="M2" s="253"/>
      <c r="N2" s="253"/>
    </row>
    <row r="3" spans="1:14">
      <c r="A3" s="262" t="s">
        <v>346</v>
      </c>
      <c r="B3" s="252">
        <f>'Income Statemnt'!C20</f>
        <v>2081.3000000000002</v>
      </c>
      <c r="C3" s="252">
        <f>'Income Statemnt'!D20</f>
        <v>3414.8</v>
      </c>
      <c r="D3" s="252">
        <f>'Income Statemnt'!E20</f>
        <v>3075</v>
      </c>
      <c r="E3" s="252">
        <f>'Income Statemnt'!F20</f>
        <v>2840</v>
      </c>
      <c r="F3" s="274">
        <f>'Income Statemnt'!G20</f>
        <v>3812</v>
      </c>
      <c r="G3" s="275">
        <f>'Income Statemnt'!H20</f>
        <v>3849.2534918684469</v>
      </c>
      <c r="H3" s="275">
        <f>'Income Statemnt'!I20</f>
        <v>4028.9622678265769</v>
      </c>
      <c r="I3" s="275">
        <f>'Income Statemnt'!J20</f>
        <v>4213.1374631223707</v>
      </c>
      <c r="J3" s="275">
        <f>'Income Statemnt'!K20</f>
        <v>4401.7830260887713</v>
      </c>
      <c r="K3" s="283">
        <f>'Income Statemnt'!L20</f>
        <v>4594.8951173243931</v>
      </c>
      <c r="L3" s="253"/>
      <c r="M3" s="253"/>
      <c r="N3" s="253"/>
    </row>
    <row r="4" spans="1:14">
      <c r="A4" s="83" t="s">
        <v>66</v>
      </c>
      <c r="B4" s="252">
        <f>'Income Statemnt'!C7</f>
        <v>-22143.7</v>
      </c>
      <c r="C4" s="252">
        <f>'Income Statemnt'!D7</f>
        <v>-23713.1</v>
      </c>
      <c r="D4" s="252">
        <f>'Income Statemnt'!E7</f>
        <v>-27048.2</v>
      </c>
      <c r="E4" s="252">
        <f>'Income Statemnt'!F7</f>
        <v>-23740</v>
      </c>
      <c r="F4" s="252">
        <f>'Income Statemnt'!G7</f>
        <v>-23620</v>
      </c>
      <c r="G4" s="252">
        <f>'Income Statemnt'!H7</f>
        <v>-24163.26</v>
      </c>
      <c r="H4" s="252">
        <f>'Income Statemnt'!I7</f>
        <v>-24719.014979999996</v>
      </c>
      <c r="I4" s="252">
        <f>'Income Statemnt'!J7</f>
        <v>-25287.552324539993</v>
      </c>
      <c r="J4" s="252">
        <f>'Income Statemnt'!K7</f>
        <v>-25869.166028004409</v>
      </c>
      <c r="K4" s="283">
        <f>'Income Statemnt'!L7</f>
        <v>-26464.156846648508</v>
      </c>
      <c r="L4" s="253"/>
      <c r="M4" s="253"/>
      <c r="N4" s="253"/>
    </row>
    <row r="5" spans="1:14">
      <c r="A5" s="302" t="s">
        <v>108</v>
      </c>
      <c r="B5" s="302"/>
      <c r="C5" s="302"/>
      <c r="D5" s="302"/>
      <c r="E5" s="302"/>
      <c r="F5" s="302"/>
      <c r="G5" s="80"/>
      <c r="H5" s="80"/>
      <c r="I5" s="80"/>
      <c r="J5" s="80"/>
      <c r="K5" s="284"/>
    </row>
    <row r="6" spans="1:14">
      <c r="A6" s="85" t="s">
        <v>348</v>
      </c>
      <c r="B6" s="280">
        <f>'Income Statemnt'!C8/'Income Statemnt'!C6</f>
        <v>0.28462326233527924</v>
      </c>
      <c r="C6" s="280">
        <f>'Income Statemnt'!D8/'Income Statemnt'!D6</f>
        <v>0.30314820637752038</v>
      </c>
      <c r="D6" s="280">
        <f>'Income Statemnt'!E8/'Income Statemnt'!E6</f>
        <v>0.27656364925043797</v>
      </c>
      <c r="E6" s="280">
        <f>'Income Statemnt'!F8/'Income Statemnt'!F6</f>
        <v>0.29121633725443363</v>
      </c>
      <c r="F6" s="280">
        <f>'Income Statemnt'!G8/'Income Statemnt'!G6</f>
        <v>0.31321237497092347</v>
      </c>
      <c r="G6" s="285">
        <f>'Income Statemnt'!H8/'Income Statemnt'!H6</f>
        <v>0.31799852727467132</v>
      </c>
      <c r="H6" s="285">
        <f>'Income Statemnt'!I8/'Income Statemnt'!I6</f>
        <v>0.32275132537540235</v>
      </c>
      <c r="I6" s="285">
        <f>'Income Statemnt'!J8/'Income Statemnt'!J6</f>
        <v>0.327471001715126</v>
      </c>
      <c r="J6" s="285">
        <f>'Income Statemnt'!K8/'Income Statemnt'!K6</f>
        <v>0.33215778711598715</v>
      </c>
      <c r="K6" s="286">
        <f>'Income Statemnt'!L8/'Income Statemnt'!L6</f>
        <v>0.33681191079155509</v>
      </c>
    </row>
    <row r="7" spans="1:14">
      <c r="A7" s="92" t="s">
        <v>109</v>
      </c>
      <c r="B7" s="105">
        <f>'Income Statemnt'!C35/'Income Statemnt'!C6</f>
        <v>5.8215604495717825E-2</v>
      </c>
      <c r="C7" s="105">
        <f>'Income Statemnt'!D35/'Income Statemnt'!D6</f>
        <v>8.5077683968626666E-2</v>
      </c>
      <c r="D7" s="105">
        <f>'Income Statemnt'!E35/'Income Statemnt'!E6</f>
        <v>7.3121414338633534E-2</v>
      </c>
      <c r="E7" s="105">
        <f>'Income Statemnt'!F35/'Income Statemnt'!F6</f>
        <v>8.9926554009673379E-2</v>
      </c>
      <c r="F7" s="106">
        <f>'Income Statemnt'!G35/'Income Statemnt'!G6</f>
        <v>0.1119737148173994</v>
      </c>
    </row>
    <row r="8" spans="1:14">
      <c r="A8" s="92" t="s">
        <v>110</v>
      </c>
      <c r="B8" s="105">
        <f>'Income Statemnt'!C35/'Balance sheet'!C36</f>
        <v>0.11433429775138318</v>
      </c>
      <c r="C8" s="105">
        <f>'Income Statemnt'!D35/'Balance sheet'!D36</f>
        <v>0.18380186906394433</v>
      </c>
      <c r="D8" s="105">
        <f>'Income Statemnt'!E35/'Balance sheet'!E36</f>
        <v>0.15584881997491734</v>
      </c>
      <c r="E8" s="105">
        <f>'Income Statemnt'!F35/'Balance sheet'!F36</f>
        <v>0.16345579855646605</v>
      </c>
      <c r="F8" s="281">
        <f>'Income Statemnt'!G35/'Balance sheet'!G36</f>
        <v>0.22338882765821683</v>
      </c>
    </row>
    <row r="9" spans="1:14">
      <c r="A9" s="92" t="s">
        <v>111</v>
      </c>
      <c r="B9" s="105">
        <f>'Income Statemnt'!C20/'Income Statemnt'!C6</f>
        <v>6.7238700131485862E-2</v>
      </c>
      <c r="C9" s="105">
        <f>'Income Statemnt'!D20/'Income Statemnt'!D6</f>
        <v>0.10034999662051962</v>
      </c>
      <c r="D9" s="105">
        <f>'Income Statemnt'!E20/'Income Statemnt'!E6</f>
        <v>8.2244540433555766E-2</v>
      </c>
      <c r="E9" s="105">
        <f>'Income Statemnt'!F20/'Income Statemnt'!F6</f>
        <v>8.4791305905535325E-2</v>
      </c>
      <c r="F9" s="106">
        <f>'Income Statemnt'!G20/'Income Statemnt'!G6</f>
        <v>0.11083973016980693</v>
      </c>
    </row>
    <row r="10" spans="1:14">
      <c r="A10" s="92" t="s">
        <v>110</v>
      </c>
      <c r="B10" s="105"/>
      <c r="C10" s="105">
        <f>'Income Statemnt'!D38/((('Balance sheet'!C36-'Balance sheet'!C35)+('Balance sheet'!D36-'Balance sheet'!D35))/2)</f>
        <v>0.1835226744986756</v>
      </c>
      <c r="D10" s="105">
        <f>'Income Statemnt'!E38/((('Balance sheet'!D36-'Balance sheet'!D35)+('Balance sheet'!E36-'Balance sheet'!E35))/2)</f>
        <v>0.1637127318636496</v>
      </c>
      <c r="E10" s="105">
        <f>'Income Statemnt'!F38/((('Balance sheet'!E36-'Balance sheet'!E35)+('Balance sheet'!F36-'Balance sheet'!F35))/2)</f>
        <v>0.16781477928952973</v>
      </c>
      <c r="F10" s="106">
        <f>'Income Statemnt'!G38/((('Balance sheet'!F36-'Balance sheet'!F35)+('Balance sheet'!G36-'Balance sheet'!G35))/2)</f>
        <v>0.21691443898890708</v>
      </c>
    </row>
    <row r="11" spans="1:14">
      <c r="A11" s="92" t="s">
        <v>112</v>
      </c>
      <c r="B11" s="80"/>
      <c r="C11" s="255">
        <f>'Income Statemnt'!D6/(('Balance sheet'!D25+'Balance sheet'!C25)/2)</f>
        <v>1.4490402938201949</v>
      </c>
      <c r="D11" s="255">
        <f>'Income Statemnt'!E6/(('Balance sheet'!E25+'Balance sheet'!D25)/2)</f>
        <v>1.4930853676555744</v>
      </c>
      <c r="E11" s="255">
        <f>'Income Statemnt'!F6/(('Balance sheet'!F25+'Balance sheet'!E25)/2)</f>
        <v>1.2728585543816979</v>
      </c>
      <c r="F11" s="256">
        <f>'Income Statemnt'!G6/(('Balance sheet'!G25+'Balance sheet'!F25)/2)</f>
        <v>1.283810519242973</v>
      </c>
    </row>
    <row r="12" spans="1:14">
      <c r="A12" s="92" t="s">
        <v>113</v>
      </c>
      <c r="B12" s="105">
        <f>('Income Statemnt'!C20+(-'Income Statemnt'!C19))/'Income Statemnt'!C6</f>
        <v>7.2220301803649939E-2</v>
      </c>
      <c r="C12" s="105">
        <f>('Income Statemnt'!D16+(-'Income Statemnt'!D19))/'Income Statemnt'!D6</f>
        <v>0.10128449641334276</v>
      </c>
      <c r="D12" s="105">
        <f>('Income Statemnt'!E16+(-'Income Statemnt'!E19))/'Income Statemnt'!E6</f>
        <v>8.4550062184896427E-2</v>
      </c>
      <c r="E12" s="105">
        <f>('Income Statemnt'!F16+(-'Income Statemnt'!F19))/'Income Statemnt'!F6</f>
        <v>8.4671881531020482E-2</v>
      </c>
      <c r="F12" s="106">
        <f>('Income Statemnt'!G16+(-'Income Statemnt'!G19))/'Income Statemnt'!G6</f>
        <v>0.11200279134682484</v>
      </c>
    </row>
    <row r="13" spans="1:14">
      <c r="A13" s="92" t="s">
        <v>332</v>
      </c>
      <c r="B13" s="259">
        <f>'Income Statemnt'!C20/'Income Statemnt'!C6</f>
        <v>6.7238700131485862E-2</v>
      </c>
      <c r="C13" s="259">
        <f>'Income Statemnt'!D20/'Income Statemnt'!D6</f>
        <v>0.10034999662051962</v>
      </c>
      <c r="D13" s="259">
        <f>'Income Statemnt'!E20/'Income Statemnt'!E6</f>
        <v>8.2244540433555766E-2</v>
      </c>
      <c r="E13" s="259">
        <f>'Income Statemnt'!F20/'Income Statemnt'!F6</f>
        <v>8.4791305905535325E-2</v>
      </c>
      <c r="F13" s="267">
        <f>'Income Statemnt'!G20/'Income Statemnt'!G6</f>
        <v>0.11083973016980693</v>
      </c>
    </row>
    <row r="14" spans="1:14">
      <c r="A14" s="92"/>
      <c r="B14" s="80"/>
      <c r="C14" s="80"/>
      <c r="D14" s="80"/>
      <c r="E14" s="80"/>
      <c r="F14" s="81"/>
    </row>
    <row r="15" spans="1:14">
      <c r="A15" s="301" t="s">
        <v>115</v>
      </c>
      <c r="B15" s="302"/>
      <c r="C15" s="302"/>
      <c r="D15" s="302"/>
      <c r="E15" s="302"/>
      <c r="F15" s="307"/>
    </row>
    <row r="16" spans="1:14">
      <c r="A16" s="304" t="s">
        <v>116</v>
      </c>
      <c r="B16" s="305"/>
      <c r="C16" s="305"/>
      <c r="D16" s="305"/>
      <c r="E16" s="305"/>
      <c r="F16" s="306"/>
    </row>
    <row r="17" spans="1:6">
      <c r="A17" s="92" t="s">
        <v>117</v>
      </c>
      <c r="B17" s="255">
        <f>('Balance sheet'!C22-'Balance sheet'!C23)/'Balance sheet'!C51</f>
        <v>1.8714486262450698</v>
      </c>
      <c r="C17" s="255">
        <f>('Balance sheet'!D22-'Balance sheet'!D23)/'Balance sheet'!D51</f>
        <v>1.6401511585685662</v>
      </c>
      <c r="D17" s="255">
        <f>('Balance sheet'!E22-'Balance sheet'!E23)/'Balance sheet'!E51</f>
        <v>1.9282650495488833</v>
      </c>
      <c r="E17" s="255">
        <f>('Balance sheet'!F22-'Balance sheet'!F23)/'Balance sheet'!F51</f>
        <v>1.8319096509240247</v>
      </c>
      <c r="F17" s="256">
        <f>('Balance sheet'!G22-'Balance sheet'!G23)/'Balance sheet'!G51</f>
        <v>1.5206352886621841</v>
      </c>
    </row>
    <row r="18" spans="1:6">
      <c r="A18" s="92" t="s">
        <v>118</v>
      </c>
      <c r="B18" s="255">
        <f>('Balance sheet'!C22-'Balance sheet'!C17)/'Balance sheet'!C51</f>
        <v>0.91197606791897845</v>
      </c>
      <c r="C18" s="255">
        <f>('Balance sheet'!D22-'Balance sheet'!D17)/'Balance sheet'!D51</f>
        <v>0.68204252343361271</v>
      </c>
      <c r="D18" s="255">
        <f>('Balance sheet'!E22-'Balance sheet'!E17)/'Balance sheet'!E51</f>
        <v>0.81842922644579197</v>
      </c>
      <c r="E18" s="255">
        <f>('Balance sheet'!F22-'Balance sheet'!F17)/'Balance sheet'!F51</f>
        <v>0.8213689253935661</v>
      </c>
      <c r="F18" s="256">
        <f>('Balance sheet'!G22-'Balance sheet'!G17)/'Balance sheet'!G51</f>
        <v>1.0486900069557152</v>
      </c>
    </row>
    <row r="19" spans="1:6">
      <c r="A19" s="92" t="s">
        <v>119</v>
      </c>
      <c r="B19" s="255">
        <f>('Balance sheet'!C21+'Balance sheet'!C20)/'Balance sheet'!C51</f>
        <v>0.36128751921919916</v>
      </c>
      <c r="C19" s="255">
        <f>('Balance sheet'!D21+'Balance sheet'!D20)/'Balance sheet'!D51</f>
        <v>0.15006925859680739</v>
      </c>
      <c r="D19" s="255">
        <f>('Balance sheet'!E21+'Balance sheet'!E20)/'Balance sheet'!E51</f>
        <v>0.13001035349800324</v>
      </c>
      <c r="E19" s="255">
        <f>('Balance sheet'!F21+'Balance sheet'!F20)/'Balance sheet'!F51</f>
        <v>0.22669404517453798</v>
      </c>
      <c r="F19" s="256">
        <f>('Balance sheet'!G21+'Balance sheet'!G20)/'Balance sheet'!G51</f>
        <v>0.56225365175052167</v>
      </c>
    </row>
    <row r="20" spans="1:6">
      <c r="A20" s="92" t="s">
        <v>120</v>
      </c>
      <c r="B20" s="85">
        <f>'Balance sheet'!C22-'Balance sheet'!C51</f>
        <v>5214.3999999999996</v>
      </c>
      <c r="C20" s="85">
        <f>'Balance sheet'!D22-'Balance sheet'!D51</f>
        <v>4760.1000000000004</v>
      </c>
      <c r="D20" s="85">
        <f>'Balance sheet'!E22-'Balance sheet'!E51</f>
        <v>6276</v>
      </c>
      <c r="E20" s="85">
        <f>'Balance sheet'!F22-'Balance sheet'!F51</f>
        <v>6118</v>
      </c>
      <c r="F20" s="86">
        <f>'Balance sheet'!G22-'Balance sheet'!G51</f>
        <v>6462</v>
      </c>
    </row>
    <row r="21" spans="1:6">
      <c r="A21" s="92" t="s">
        <v>121</v>
      </c>
      <c r="B21" s="109">
        <f>B20/'Income Statemnt'!C6</f>
        <v>0.16845696341979521</v>
      </c>
      <c r="C21" s="109">
        <f>C20/'Income Statemnt'!D6</f>
        <v>0.13988403974268931</v>
      </c>
      <c r="D21" s="109">
        <f>D20/'Income Statemnt'!E6</f>
        <v>0.16785910106048652</v>
      </c>
      <c r="E21" s="109">
        <f>E20/'Income Statemnt'!F6</f>
        <v>0.18265958082044545</v>
      </c>
      <c r="F21" s="110">
        <f>F20/'Income Statemnt'!G6</f>
        <v>0.18789253314724355</v>
      </c>
    </row>
    <row r="22" spans="1:6">
      <c r="A22" s="301" t="s">
        <v>122</v>
      </c>
      <c r="B22" s="302"/>
      <c r="C22" s="302"/>
      <c r="D22" s="302"/>
      <c r="E22" s="302"/>
      <c r="F22" s="307"/>
    </row>
    <row r="23" spans="1:6">
      <c r="A23" s="92" t="s">
        <v>123</v>
      </c>
      <c r="B23" s="80"/>
      <c r="C23" s="93">
        <f>((('Balance sheet'!D17+'Balance sheet'!C17)/2)/-'Income Statemnt'!D7)*365</f>
        <v>99.015048643998483</v>
      </c>
      <c r="D23" s="93">
        <f>((('Balance sheet'!E17+'Balance sheet'!D17)/2)/-'Income Statemnt'!E7)*365</f>
        <v>98.698249791113639</v>
      </c>
      <c r="E23" s="93">
        <f>((('Balance sheet'!F17+'Balance sheet'!E17)/2)/-'Income Statemnt'!F7)*365</f>
        <v>114.74668281381634</v>
      </c>
      <c r="F23" s="94">
        <f>((('Balance sheet'!G17+'Balance sheet'!F17)/2)/-'Income Statemnt'!G7)*365</f>
        <v>104.03658975444539</v>
      </c>
    </row>
    <row r="24" spans="1:6">
      <c r="A24" s="92" t="s">
        <v>124</v>
      </c>
      <c r="B24" s="90">
        <f>('Balance sheet'!C18/'Income Statemnt'!C6)*365</f>
        <v>38.854926196698955</v>
      </c>
      <c r="C24" s="90">
        <f>('Balance sheet'!D18/'Income Statemnt'!D6)*365</f>
        <v>42.428465216330821</v>
      </c>
      <c r="D24" s="90">
        <f>('Balance sheet'!E18/'Income Statemnt'!E6)*365</f>
        <v>45.219251909009458</v>
      </c>
      <c r="E24" s="90">
        <f>('Balance sheet'!F18/'Income Statemnt'!F6)*365</f>
        <v>46.608497044246732</v>
      </c>
      <c r="F24" s="91">
        <f>('Balance sheet'!G18/'Income Statemnt'!G6)*365</f>
        <v>44.25593161200279</v>
      </c>
    </row>
    <row r="25" spans="1:6">
      <c r="A25" s="92" t="s">
        <v>125</v>
      </c>
      <c r="B25" s="80"/>
      <c r="C25" s="93">
        <f>((('Balance sheet'!D45+'Balance sheet'!C45)/2)/-'Income Statemnt'!D7)*365</f>
        <v>83.189418507069945</v>
      </c>
      <c r="D25" s="93">
        <f>((('Balance sheet'!E45+'Balance sheet'!D45)/2)/-'Income Statemnt'!E7)*365</f>
        <v>67.814226085284787</v>
      </c>
      <c r="E25" s="93">
        <f>((('Balance sheet'!F45+'Balance sheet'!E45)/2)/-'Income Statemnt'!F7)*365</f>
        <v>71.131950294860999</v>
      </c>
      <c r="F25" s="94">
        <f>((('Balance sheet'!G45+'Balance sheet'!F45)/2)/-'Income Statemnt'!G7)*365</f>
        <v>86.328217612193058</v>
      </c>
    </row>
    <row r="26" spans="1:6">
      <c r="A26" s="92" t="s">
        <v>126</v>
      </c>
      <c r="B26" s="80"/>
      <c r="C26" s="93">
        <f>C23+C24-C25</f>
        <v>58.254095353259345</v>
      </c>
      <c r="D26" s="93">
        <f>D23+D24-D25</f>
        <v>76.10327561483831</v>
      </c>
      <c r="E26" s="93">
        <f>E23+E24-E25</f>
        <v>90.223229563202082</v>
      </c>
      <c r="F26" s="94">
        <f>F23+F24-F25</f>
        <v>61.964303754255113</v>
      </c>
    </row>
    <row r="27" spans="1:6">
      <c r="A27" s="92"/>
      <c r="B27" s="80"/>
      <c r="C27" s="93"/>
      <c r="D27" s="93"/>
      <c r="E27" s="93"/>
      <c r="F27" s="94"/>
    </row>
    <row r="28" spans="1:6">
      <c r="A28" s="92" t="s">
        <v>349</v>
      </c>
      <c r="B28" s="258">
        <v>9.5</v>
      </c>
      <c r="C28" s="257">
        <v>7.2</v>
      </c>
      <c r="D28" s="257">
        <v>7.1</v>
      </c>
      <c r="E28" s="257">
        <v>8.6</v>
      </c>
      <c r="F28" s="360">
        <v>8.4</v>
      </c>
    </row>
    <row r="29" spans="1:6">
      <c r="A29" s="92"/>
      <c r="B29" s="80"/>
      <c r="C29" s="93"/>
      <c r="D29" s="93"/>
      <c r="E29" s="93"/>
      <c r="F29" s="94"/>
    </row>
    <row r="30" spans="1:6">
      <c r="A30" s="92"/>
      <c r="B30" s="80"/>
      <c r="C30" s="80"/>
      <c r="D30" s="80"/>
      <c r="E30" s="80"/>
      <c r="F30" s="81"/>
    </row>
    <row r="31" spans="1:6">
      <c r="A31" s="302" t="s">
        <v>127</v>
      </c>
      <c r="B31" s="302"/>
      <c r="C31" s="302"/>
      <c r="D31" s="302"/>
      <c r="E31" s="302"/>
      <c r="F31" s="303"/>
    </row>
    <row r="32" spans="1:6">
      <c r="A32" s="288" t="s">
        <v>128</v>
      </c>
      <c r="B32" s="266">
        <f>('Balance sheet'!C50+'Balance sheet'!C41)/'Balance sheet'!C36</f>
        <v>3.5994365768235115E-2</v>
      </c>
      <c r="C32" s="266">
        <f>('Balance sheet'!D50+'Balance sheet'!D41)/'Balance sheet'!D36</f>
        <v>9.4830870028950173E-2</v>
      </c>
      <c r="D32" s="266">
        <f>('Balance sheet'!E50+'Balance sheet'!E41)/'Balance sheet'!E36</f>
        <v>0.11941055751909702</v>
      </c>
      <c r="E32" s="266">
        <f>('Balance sheet'!F50+'Balance sheet'!F41)/'Balance sheet'!F36</f>
        <v>6.7406523036848104E-2</v>
      </c>
      <c r="F32" s="267">
        <f>('Balance sheet'!G50+'Balance sheet'!G41)/'Balance sheet'!G36</f>
        <v>2.0708857822379488E-2</v>
      </c>
    </row>
    <row r="33" spans="1:6">
      <c r="A33" s="85" t="s">
        <v>129</v>
      </c>
      <c r="B33" s="266">
        <f>('Balance sheet'!C50+'Balance sheet'!C41)/'Balance sheet'!C25</f>
        <v>2.4783423546218267E-2</v>
      </c>
      <c r="C33" s="266">
        <f>('Balance sheet'!D50+'Balance sheet'!D41)/'Balance sheet'!D25</f>
        <v>6.2037944611499675E-2</v>
      </c>
      <c r="D33" s="266">
        <f>('Balance sheet'!E50+'Balance sheet'!E41)/'Balance sheet'!E25</f>
        <v>8.054989425110555E-2</v>
      </c>
      <c r="E33" s="266">
        <f>('Balance sheet'!F50+'Balance sheet'!F41)/'Balance sheet'!F25</f>
        <v>4.6655147804529916E-2</v>
      </c>
      <c r="F33" s="267">
        <f>('Balance sheet'!G50+'Balance sheet'!G41)/'Balance sheet'!G25</f>
        <v>1.3244296048970506E-2</v>
      </c>
    </row>
    <row r="34" spans="1:6">
      <c r="A34" s="85" t="s">
        <v>130</v>
      </c>
      <c r="B34" s="255">
        <f>'Income Statemnt'!C20/(-'Income Statemnt'!C23)</f>
        <v>36.5140350877193</v>
      </c>
      <c r="C34" s="255">
        <f>'Income Statemnt'!D20/-'Income Statemnt'!D23</f>
        <v>38.325476992143663</v>
      </c>
      <c r="D34" s="255">
        <f>'Income Statemnt'!E20/-'Income Statemnt'!E23</f>
        <v>11.478163493840986</v>
      </c>
      <c r="E34" s="255">
        <f>'Income Statemnt'!F20/-'Income Statemnt'!F23</f>
        <v>9.1909385113268609</v>
      </c>
      <c r="F34" s="265">
        <f>'Income Statemnt'!G20/-'Income Statemnt'!G23</f>
        <v>52.944444444444443</v>
      </c>
    </row>
    <row r="35" spans="1:6">
      <c r="A35" s="85" t="s">
        <v>131</v>
      </c>
      <c r="B35" s="255">
        <f>'Cash flow'!C7/((-'Cash flow'!C10)+(-'Cash flow'!C35)+(-'Cash flow'!C41))</f>
        <v>13.213498162378885</v>
      </c>
      <c r="C35" s="255">
        <f>'Cash flow'!D7/((-'Cash flow'!D10)+(-'Cash flow'!D35)+(-'Cash flow'!D41))</f>
        <v>9.4367088607594951</v>
      </c>
      <c r="D35" s="255">
        <f>'Cash flow'!E7/((-'Cash flow'!E10)+(-'Cash flow'!E35)+(-'Cash flow'!E41))</f>
        <v>1.4694498804087845</v>
      </c>
      <c r="E35" s="255">
        <f>'Cash flow'!F7/((-'Cash flow'!F10)+(-'Cash flow'!F35)+(-'Cash flow'!F41))</f>
        <v>3.6615865832556902</v>
      </c>
      <c r="F35" s="265">
        <f>'Cash flow'!G7/((-'Cash flow'!G10)+(-'Cash flow'!G35)+(-'Cash flow'!G41))</f>
        <v>4.6893139841688658</v>
      </c>
    </row>
    <row r="36" spans="1:6">
      <c r="A36" s="85" t="s">
        <v>132</v>
      </c>
      <c r="B36" s="171"/>
      <c r="C36" s="255">
        <f>'Balance sheet'!D25/(('Balance sheet'!D36+'Balance sheet'!C36)/2)</f>
        <v>1.5281289667428282</v>
      </c>
      <c r="D36" s="255">
        <f>'Balance sheet'!E25/(('Balance sheet'!E36+'Balance sheet'!D36)/2)</f>
        <v>1.5621808657623781</v>
      </c>
      <c r="E36" s="255">
        <f>'Balance sheet'!F25/(('Balance sheet'!F36+'Balance sheet'!E36)/2)</f>
        <v>1.4803302844115767</v>
      </c>
      <c r="F36" s="265">
        <f>'Balance sheet'!G25/(('Balance sheet'!G36+'Balance sheet'!F36)/2)</f>
        <v>1.5115235798799977</v>
      </c>
    </row>
    <row r="37" spans="1:6">
      <c r="A37" s="302" t="s">
        <v>133</v>
      </c>
      <c r="B37" s="302"/>
      <c r="C37" s="302"/>
      <c r="D37" s="302"/>
      <c r="E37" s="302"/>
      <c r="F37" s="303"/>
    </row>
    <row r="38" spans="1:6">
      <c r="A38" s="85" t="s">
        <v>134</v>
      </c>
      <c r="B38" s="80"/>
      <c r="C38" s="269">
        <f>('Income Statemnt'!D6-'Income Statemnt'!C6)/'Income Statemnt'!C6</f>
        <v>9.9341278481871423E-2</v>
      </c>
      <c r="D38" s="269">
        <f>('Income Statemnt'!E6-'Income Statemnt'!D6)/'Income Statemnt'!D6</f>
        <v>9.8727846036751069E-2</v>
      </c>
      <c r="E38" s="269">
        <f>('Income Statemnt'!F6-'Income Statemnt'!E6)/'Income Statemnt'!E6</f>
        <v>-0.10416304478649852</v>
      </c>
      <c r="F38" s="263">
        <f>('Income Statemnt'!G6-'Income Statemnt'!F6)/'Income Statemnt'!F6</f>
        <v>2.6810772078581239E-2</v>
      </c>
    </row>
    <row r="39" spans="1:6">
      <c r="A39" s="85" t="s">
        <v>114</v>
      </c>
      <c r="B39" s="80"/>
      <c r="C39" s="269">
        <f>('Income Statemnt'!D16-'Income Statemnt'!C16)/'Income Statemnt'!C16</f>
        <v>0.53464549317825982</v>
      </c>
      <c r="D39" s="269">
        <f>('Income Statemnt'!E16-'Income Statemnt'!D16)/'Income Statemnt'!D16</f>
        <v>-9.1147579211239643E-2</v>
      </c>
      <c r="E39" s="269">
        <f>('Income Statemnt'!F16-'Income Statemnt'!E16)/'Income Statemnt'!E16</f>
        <v>-8.9801154586273246E-2</v>
      </c>
      <c r="F39" s="263">
        <f>('Income Statemnt'!G16-'Income Statemnt'!F16)/'Income Statemnt'!F16</f>
        <v>0.35024665257223397</v>
      </c>
    </row>
    <row r="40" spans="1:6">
      <c r="A40" s="85" t="s">
        <v>135</v>
      </c>
      <c r="B40" s="80"/>
      <c r="C40" s="269">
        <f>('Income Statemnt'!D35-'Income Statemnt'!C35)/'Income Statemnt'!C35</f>
        <v>0.60660377358490558</v>
      </c>
      <c r="D40" s="269">
        <f>('Income Statemnt'!E35-'Income Statemnt'!D35)/'Income Statemnt'!D35</f>
        <v>-5.5680287382128366E-2</v>
      </c>
      <c r="E40" s="269">
        <f>('Income Statemnt'!F35-'Income Statemnt'!E35)/'Income Statemnt'!E35</f>
        <v>0.10172281356304178</v>
      </c>
      <c r="F40" s="263">
        <f>('Income Statemnt'!G35-'Income Statemnt'!F35)/'Income Statemnt'!F35</f>
        <v>0.2785524568393094</v>
      </c>
    </row>
    <row r="41" spans="1:6">
      <c r="A41" s="85" t="s">
        <v>340</v>
      </c>
      <c r="B41" s="80">
        <f>'Income Statemnt'!C43</f>
        <v>1050</v>
      </c>
      <c r="C41" s="80">
        <f>'Income Statemnt'!D43</f>
        <v>1738</v>
      </c>
      <c r="D41" s="80">
        <f>'Income Statemnt'!E43</f>
        <v>1700</v>
      </c>
      <c r="E41" s="80">
        <f>'Income Statemnt'!F43</f>
        <v>1888</v>
      </c>
      <c r="F41" s="284">
        <f>'Income Statemnt'!G43</f>
        <v>2449</v>
      </c>
    </row>
    <row r="42" spans="1:6">
      <c r="A42" s="85" t="s">
        <v>341</v>
      </c>
      <c r="B42" s="80"/>
      <c r="C42" s="269">
        <f>(C41/B41)-1</f>
        <v>0.65523809523809518</v>
      </c>
      <c r="D42" s="269">
        <f t="shared" ref="D42:F42" si="0">(D41/C41)-1</f>
        <v>-2.1864211737629424E-2</v>
      </c>
      <c r="E42" s="269">
        <f t="shared" si="0"/>
        <v>0.11058823529411765</v>
      </c>
      <c r="F42" s="263">
        <f t="shared" si="0"/>
        <v>0.29713983050847448</v>
      </c>
    </row>
    <row r="43" spans="1:6">
      <c r="A43" s="85" t="s">
        <v>136</v>
      </c>
      <c r="B43" s="85">
        <f>'Cash flow'!C15-(-'Cash flow'!C18)</f>
        <v>599.29999999999995</v>
      </c>
      <c r="C43" s="85">
        <f>'Cash flow'!D15-(-'Cash flow'!D18)</f>
        <v>-357.20000000000005</v>
      </c>
      <c r="D43" s="85">
        <f>'Cash flow'!E15-(-'Cash flow'!E18)</f>
        <v>-842.39999999999986</v>
      </c>
      <c r="E43" s="85">
        <f>'Cash flow'!F15-(-'Cash flow'!F18)</f>
        <v>1977.9</v>
      </c>
      <c r="F43" s="264">
        <f>'Cash flow'!G15-(-'Cash flow'!G18)</f>
        <v>1091</v>
      </c>
    </row>
    <row r="44" spans="1:6">
      <c r="A44" s="85" t="s">
        <v>137</v>
      </c>
      <c r="B44" s="80"/>
      <c r="C44" s="255">
        <f>(C43/B43)-1</f>
        <v>-1.5960287001501752</v>
      </c>
      <c r="D44" s="255">
        <f>(D43/C43)-1</f>
        <v>1.3583426651735717</v>
      </c>
      <c r="E44" s="255">
        <f t="shared" ref="E44:F44" si="1">(-E43-D43)/D43</f>
        <v>1.3479344729344733</v>
      </c>
      <c r="F44" s="265">
        <f t="shared" si="1"/>
        <v>-1.5515951261438901</v>
      </c>
    </row>
    <row r="45" spans="1:6">
      <c r="A45" s="226"/>
      <c r="B45" s="166"/>
      <c r="C45" s="166"/>
      <c r="D45" s="166"/>
      <c r="E45" s="166"/>
      <c r="F45" s="218"/>
    </row>
    <row r="46" spans="1:6">
      <c r="A46" s="85" t="s">
        <v>138</v>
      </c>
      <c r="B46" s="258">
        <v>187.27</v>
      </c>
      <c r="C46" s="258">
        <v>169.44</v>
      </c>
      <c r="D46" s="258">
        <v>153.44999999999999</v>
      </c>
      <c r="E46" s="258">
        <v>233</v>
      </c>
      <c r="F46" s="290">
        <v>264.02999999999997</v>
      </c>
    </row>
    <row r="47" spans="1:6">
      <c r="A47" s="85" t="s">
        <v>347</v>
      </c>
      <c r="B47" s="289">
        <f>B46/('Income Statemnt'!C42/100)</f>
        <v>17.584037558685445</v>
      </c>
      <c r="C47" s="289">
        <f>C46/('Income Statemnt'!D42/100)</f>
        <v>9.6163450624290565</v>
      </c>
      <c r="D47" s="289">
        <f>D46/('Income Statemnt'!E42/100)</f>
        <v>8.8956521739130423</v>
      </c>
      <c r="E47" s="289">
        <f>E46/('Income Statemnt'!F42/100)</f>
        <v>12.173458725182863</v>
      </c>
      <c r="F47" s="291">
        <f>F46/('Income Statemnt'!G42/100)</f>
        <v>10.637792103142626</v>
      </c>
    </row>
    <row r="48" spans="1:6">
      <c r="A48" s="85" t="s">
        <v>139</v>
      </c>
      <c r="B48" s="257">
        <f>'Balance sheet'!C36/('Income Statemnt'!C35/'Income Statemnt'!C42)</f>
        <v>9314.7902330743618</v>
      </c>
      <c r="C48" s="257">
        <f>'Balance sheet'!D36/('Income Statemnt'!D35/'Income Statemnt'!D42)</f>
        <v>9586.4095886152481</v>
      </c>
      <c r="D48" s="257">
        <f>'Balance sheet'!E36/('Income Statemnt'!E35/'Income Statemnt'!E42)</f>
        <v>11068.418742455831</v>
      </c>
      <c r="E48" s="257">
        <f>'Balance sheet'!F36/('Income Statemnt'!F35/'Income Statemnt'!F42)</f>
        <v>11709.587649402391</v>
      </c>
      <c r="F48" s="268">
        <f>'Balance sheet'!G36/('Income Statemnt'!G35/'Income Statemnt'!G42)</f>
        <v>11110.672033238119</v>
      </c>
    </row>
    <row r="49" spans="1:6">
      <c r="A49" s="85" t="s">
        <v>140</v>
      </c>
      <c r="B49" s="257">
        <f>B46*('Income Statemnt'!C35/'Income Statemnt'!C42)</f>
        <v>316.86435680751174</v>
      </c>
      <c r="C49" s="257">
        <f>C46*('Income Statemnt'!D35/'Income Statemnt'!D42)</f>
        <v>278.40280590238365</v>
      </c>
      <c r="D49" s="257">
        <f>D46*('Income Statemnt'!E35/'Income Statemnt'!E42)</f>
        <v>243.19823478260869</v>
      </c>
      <c r="E49" s="257">
        <f>E46*('Income Statemnt'!F35/'Income Statemnt'!F42)</f>
        <v>366.66457680250784</v>
      </c>
      <c r="F49" s="268">
        <f>F46*('Income Statemnt'!G35/'Income Statemnt'!G42)</f>
        <v>409.66137389202254</v>
      </c>
    </row>
    <row r="50" spans="1:6">
      <c r="A50" s="85"/>
      <c r="B50" s="257"/>
      <c r="C50" s="257"/>
      <c r="D50" s="257"/>
      <c r="E50" s="257"/>
      <c r="F50" s="268"/>
    </row>
    <row r="51" spans="1:6">
      <c r="A51" s="85" t="s">
        <v>141</v>
      </c>
      <c r="B51" s="258">
        <v>168.84</v>
      </c>
      <c r="C51" s="258">
        <v>150.88</v>
      </c>
      <c r="D51" s="258">
        <v>137.08000000000001</v>
      </c>
      <c r="E51" s="258">
        <v>208.13</v>
      </c>
      <c r="F51" s="290">
        <v>300</v>
      </c>
    </row>
    <row r="52" spans="1:6">
      <c r="A52" s="92" t="s">
        <v>142</v>
      </c>
      <c r="B52" s="266">
        <f>B51/B48</f>
        <v>1.8126012049148859E-2</v>
      </c>
      <c r="C52" s="266">
        <f>C51/C48</f>
        <v>1.5738947789085082E-2</v>
      </c>
      <c r="D52" s="266">
        <f>D51/D48</f>
        <v>1.23847862273401E-2</v>
      </c>
      <c r="E52" s="266">
        <f>E51/E48</f>
        <v>1.777432359120025E-2</v>
      </c>
      <c r="F52" s="267">
        <f>F51/F48</f>
        <v>2.7001067001396074E-2</v>
      </c>
    </row>
    <row r="53" spans="1:6">
      <c r="A53" s="92" t="s">
        <v>143</v>
      </c>
      <c r="B53" s="266">
        <f>B49/'Income Statemnt'!C6</f>
        <v>1.0236653759542795E-2</v>
      </c>
      <c r="C53" s="266">
        <f>C49/'Income Statemnt'!D6</f>
        <v>8.1813636615460286E-3</v>
      </c>
      <c r="D53" s="266">
        <f>D49/'Income Statemnt'!E6</f>
        <v>6.5046266842106182E-3</v>
      </c>
      <c r="E53" s="266">
        <f>E49/'Income Statemnt'!F6</f>
        <v>1.0947171935346863E-2</v>
      </c>
      <c r="F53" s="267">
        <f>F49/'Income Statemnt'!G6</f>
        <v>1.1911530992440758E-2</v>
      </c>
    </row>
    <row r="54" spans="1:6">
      <c r="A54" s="92" t="s">
        <v>144</v>
      </c>
      <c r="B54" s="266">
        <f>(B49+'Balance sheet'!C50+'Balance sheet'!C41-'Balance sheet'!C21)/'Income Statemnt'!C6</f>
        <v>-4.1275433570325176E-2</v>
      </c>
      <c r="C54" s="266">
        <f>(C49+'Balance sheet'!D50+'Balance sheet'!D41-'Balance sheet'!D21)/'Income Statemnt'!D6</f>
        <v>1.9283691388860165E-2</v>
      </c>
      <c r="D54" s="266">
        <f>(D49+'Balance sheet'!E50+'Balance sheet'!E41-'Balance sheet'!E21)/'Income Statemnt'!E6</f>
        <v>3.9956089032258814E-2</v>
      </c>
      <c r="E54" s="266">
        <f>(E49+'Balance sheet'!F50+'Balance sheet'!F41-'Balance sheet'!F21)/'Income Statemnt'!F6</f>
        <v>-4.8472631508604774E-4</v>
      </c>
      <c r="F54" s="267">
        <f>(F49+'Balance sheet'!G50+'Balance sheet'!G41-'Balance sheet'!G21)/'Income Statemnt'!G6</f>
        <v>-6.6944016809373619E-2</v>
      </c>
    </row>
    <row r="55" spans="1:6">
      <c r="A55" s="92" t="s">
        <v>145</v>
      </c>
      <c r="B55" s="255">
        <f>(-'Cash flow'!C14)/'Income Statemnt'!C42</f>
        <v>1.5815023474178402</v>
      </c>
      <c r="C55" s="255">
        <f>(-'Cash flow'!D14)/'Income Statemnt'!D42</f>
        <v>0.78683314415437011</v>
      </c>
      <c r="D55" s="255">
        <f>(-'Cash flow'!E14)/'Income Statemnt'!E42</f>
        <v>0.90655072463768116</v>
      </c>
      <c r="E55" s="255">
        <f>(-'Cash flow'!F14)/'Income Statemnt'!F42</f>
        <v>0.85741901776384533</v>
      </c>
      <c r="F55" s="265">
        <f>(-'Cash flow'!G14)/'Income Statemnt'!G42</f>
        <v>1.4294923448831587</v>
      </c>
    </row>
    <row r="56" spans="1:6">
      <c r="A56" s="92" t="s">
        <v>343</v>
      </c>
      <c r="B56" s="266">
        <f>(-'Cash flow'!C14)/('Income Statemnt'!C35)</f>
        <v>0.93468368479467256</v>
      </c>
      <c r="C56" s="266">
        <f>(-'Cash flow'!D14)/('Income Statemnt'!D35)</f>
        <v>0.47887810438326833</v>
      </c>
      <c r="D56" s="266">
        <f>(-'Cash flow'!E14)/('Income Statemnt'!E35)</f>
        <v>0.57200336515600425</v>
      </c>
      <c r="E56" s="266">
        <f>(-'Cash flow'!F14)/('Income Statemnt'!F35)</f>
        <v>0.54485391766268254</v>
      </c>
      <c r="F56" s="267">
        <f>(-'Cash flow'!G14)/('Income Statemnt'!G35)</f>
        <v>0.9213191378862633</v>
      </c>
    </row>
    <row r="57" spans="1:6">
      <c r="A57" s="92" t="s">
        <v>344</v>
      </c>
      <c r="B57" s="171">
        <f>-'Income Statemnt'!C33/'Cash flow'!C14</f>
        <v>1.0697619188980585</v>
      </c>
      <c r="C57" s="171">
        <f>-'Income Statemnt'!D33/'Cash flow'!D14</f>
        <v>2.0882140796306978</v>
      </c>
      <c r="D57" s="171">
        <f>-'Income Statemnt'!E33/'Cash flow'!E14</f>
        <v>1.7482414631026986</v>
      </c>
      <c r="E57" s="171">
        <f>-'Income Statemnt'!F33/'Cash flow'!F14</f>
        <v>1.6866735726037414</v>
      </c>
      <c r="F57" s="279">
        <f>-'Income Statemnt'!G33/'Cash flow'!G14</f>
        <v>1.1538895152198421</v>
      </c>
    </row>
    <row r="58" spans="1:6">
      <c r="A58" s="301" t="s">
        <v>146</v>
      </c>
      <c r="B58" s="302"/>
      <c r="C58" s="302"/>
      <c r="D58" s="302"/>
      <c r="E58" s="302"/>
      <c r="F58" s="303"/>
    </row>
    <row r="59" spans="1:6">
      <c r="A59" s="92" t="s">
        <v>147</v>
      </c>
      <c r="B59" s="269">
        <f>'Cash flow'!C15/'Income Statemnt'!C6</f>
        <v>5.2109750306100357E-2</v>
      </c>
      <c r="C59" s="269">
        <f>'Cash flow'!D15/'Income Statemnt'!D6</f>
        <v>1.9007373144591801E-2</v>
      </c>
      <c r="D59" s="269">
        <f>'Cash flow'!E15/'Income Statemnt'!E6</f>
        <v>9.9014402824397878E-3</v>
      </c>
      <c r="E59" s="269">
        <f>'Cash flow'!F15/'Income Statemnt'!F6</f>
        <v>8.8024720845524582E-2</v>
      </c>
      <c r="F59" s="263">
        <f>'Cash flow'!G15/'Income Statemnt'!G6</f>
        <v>6.6294487090020934E-2</v>
      </c>
    </row>
    <row r="60" spans="1:6">
      <c r="A60" s="111" t="s">
        <v>148</v>
      </c>
      <c r="B60" s="260">
        <f>-'Cash flow'!C18/'Cash flow'!C15</f>
        <v>0.62845629262244274</v>
      </c>
      <c r="C60" s="260">
        <f>-'Cash flow'!D18/'Cash flow'!D15</f>
        <v>1.552257266542981</v>
      </c>
      <c r="D60" s="260">
        <f>-'Cash flow'!E18/'Cash flow'!E15</f>
        <v>3.2755267423014587</v>
      </c>
      <c r="E60" s="260">
        <f>-'Cash flow'!F18/'Cash flow'!F15</f>
        <v>0.32913882576399955</v>
      </c>
      <c r="F60" s="261">
        <f>-'Cash flow'!G18/'Cash flow'!G15</f>
        <v>0.52149122807017545</v>
      </c>
    </row>
    <row r="62" spans="1:6">
      <c r="A62" s="321" t="s">
        <v>330</v>
      </c>
      <c r="B62" s="322">
        <f>DCF!C22</f>
        <v>327.59709527552502</v>
      </c>
    </row>
    <row r="63" spans="1:6">
      <c r="A63" s="323" t="s">
        <v>331</v>
      </c>
      <c r="B63" s="324">
        <f>DCF!C26</f>
        <v>284.43</v>
      </c>
    </row>
    <row r="64" spans="1:6">
      <c r="A64" s="254"/>
    </row>
    <row r="65" spans="1:5">
      <c r="A65" s="342" t="s">
        <v>342</v>
      </c>
    </row>
    <row r="66" spans="1:5" ht="15.75" thickBot="1">
      <c r="A66" s="325" t="s">
        <v>333</v>
      </c>
      <c r="B66" s="326" t="s">
        <v>337</v>
      </c>
      <c r="C66" s="326" t="s">
        <v>338</v>
      </c>
      <c r="D66" s="326" t="s">
        <v>339</v>
      </c>
      <c r="E66" s="327" t="s">
        <v>334</v>
      </c>
    </row>
    <row r="67" spans="1:5">
      <c r="A67" s="328" t="s">
        <v>335</v>
      </c>
      <c r="B67" s="80">
        <v>34.4</v>
      </c>
      <c r="C67" s="80">
        <v>16</v>
      </c>
      <c r="D67" s="80">
        <v>26.5</v>
      </c>
      <c r="E67" s="284">
        <v>19.899999999999999</v>
      </c>
    </row>
    <row r="68" spans="1:5">
      <c r="A68" s="336" t="s">
        <v>336</v>
      </c>
      <c r="B68" s="258">
        <v>3.8</v>
      </c>
      <c r="C68" s="80">
        <v>3.6</v>
      </c>
      <c r="D68" s="80">
        <v>1.8</v>
      </c>
      <c r="E68" s="284">
        <v>1.9</v>
      </c>
    </row>
    <row r="69" spans="1:5">
      <c r="A69" s="328" t="s">
        <v>332</v>
      </c>
      <c r="B69" s="107">
        <v>0.111</v>
      </c>
      <c r="C69" s="107">
        <v>0.222</v>
      </c>
      <c r="D69" s="107">
        <v>7.0000000000000007E-2</v>
      </c>
      <c r="E69" s="337">
        <v>9.6000000000000002E-2</v>
      </c>
    </row>
    <row r="70" spans="1:5">
      <c r="A70" s="328"/>
      <c r="B70" s="107"/>
      <c r="C70" s="107"/>
      <c r="D70" s="107"/>
      <c r="E70" s="337"/>
    </row>
    <row r="71" spans="1:5">
      <c r="A71" s="338" t="s">
        <v>349</v>
      </c>
      <c r="B71" s="80">
        <f>8.21</f>
        <v>8.2100000000000009</v>
      </c>
      <c r="C71" s="80">
        <f>8.22</f>
        <v>8.2200000000000006</v>
      </c>
      <c r="D71" s="80">
        <f>3.5</f>
        <v>3.5</v>
      </c>
      <c r="E71" s="339">
        <v>8.66</v>
      </c>
    </row>
    <row r="72" spans="1:5">
      <c r="A72" s="323" t="s">
        <v>350</v>
      </c>
      <c r="B72" s="340">
        <f>4.77</f>
        <v>4.7699999999999996</v>
      </c>
      <c r="C72" s="340">
        <v>2.1</v>
      </c>
      <c r="D72" s="340">
        <v>2.4</v>
      </c>
      <c r="E72" s="341">
        <v>2.56</v>
      </c>
    </row>
  </sheetData>
  <mergeCells count="7">
    <mergeCell ref="A58:F58"/>
    <mergeCell ref="A16:F16"/>
    <mergeCell ref="A5:F5"/>
    <mergeCell ref="A15:F15"/>
    <mergeCell ref="A22:F22"/>
    <mergeCell ref="A31:F31"/>
    <mergeCell ref="A37:F37"/>
  </mergeCells>
  <pageMargins left="0.7" right="0.7" top="0.75" bottom="0.75" header="0.511811023622047" footer="0.511811023622047"/>
  <pageSetup paperSize="9" orientation="portrait" horizontalDpi="300" verticalDpi="3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B5A4A-8BCD-4960-B6C4-B3216E9E2272}">
  <sheetPr>
    <tabColor theme="5" tint="0.59999389629810485"/>
  </sheetPr>
  <dimension ref="A1"/>
  <sheetViews>
    <sheetView workbookViewId="0">
      <selection activeCell="F33" sqref="F33"/>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2"/>
  <sheetViews>
    <sheetView tabSelected="1" zoomScaleNormal="100" workbookViewId="0">
      <selection activeCell="H7" sqref="H7:L7"/>
    </sheetView>
  </sheetViews>
  <sheetFormatPr defaultColWidth="8.5703125" defaultRowHeight="15"/>
  <cols>
    <col min="1" max="1" width="34.5703125" style="1" customWidth="1"/>
    <col min="2" max="2" width="7.42578125" style="1" hidden="1" customWidth="1"/>
    <col min="9" max="9" width="9.28515625" style="1" customWidth="1"/>
    <col min="12" max="12" width="10.7109375" bestFit="1" customWidth="1"/>
    <col min="14" max="14" width="40.85546875" style="1" customWidth="1"/>
    <col min="15" max="15" width="13.85546875" style="1" customWidth="1"/>
    <col min="17" max="17" width="14.42578125" style="1" customWidth="1"/>
    <col min="20" max="20" width="14.28515625" customWidth="1"/>
    <col min="22" max="22" width="19.85546875" customWidth="1"/>
    <col min="23" max="23" width="9.140625" bestFit="1" customWidth="1"/>
  </cols>
  <sheetData>
    <row r="1" spans="1:26" ht="16.5" customHeight="1">
      <c r="A1" s="314" t="s">
        <v>149</v>
      </c>
      <c r="B1" s="314"/>
      <c r="C1" s="314"/>
      <c r="D1" s="314"/>
      <c r="E1" s="314"/>
      <c r="F1" s="314"/>
      <c r="G1" s="314"/>
      <c r="H1" s="314"/>
      <c r="I1" s="314"/>
      <c r="J1" s="314"/>
      <c r="K1" s="314"/>
      <c r="L1" s="314"/>
    </row>
    <row r="2" spans="1:26" ht="15" customHeight="1">
      <c r="A2" s="308" t="s">
        <v>150</v>
      </c>
      <c r="B2" s="308"/>
      <c r="C2" s="308"/>
      <c r="D2" s="308"/>
      <c r="E2" s="308"/>
      <c r="F2" s="308"/>
      <c r="G2" s="308"/>
    </row>
    <row r="3" spans="1:26" ht="15" customHeight="1">
      <c r="A3" s="309" t="s">
        <v>91</v>
      </c>
      <c r="B3" s="310"/>
      <c r="C3" s="310"/>
      <c r="D3" s="310"/>
      <c r="E3" s="310"/>
      <c r="F3" s="310"/>
      <c r="G3" s="310"/>
      <c r="H3" s="311" t="s">
        <v>55</v>
      </c>
      <c r="I3" s="311"/>
      <c r="J3" s="311"/>
      <c r="K3" s="311"/>
      <c r="L3" s="312"/>
      <c r="V3" s="80"/>
    </row>
    <row r="4" spans="1:26" ht="15" customHeight="1">
      <c r="A4" s="77" t="s">
        <v>57</v>
      </c>
      <c r="B4" s="78"/>
      <c r="C4" s="79" t="s">
        <v>151</v>
      </c>
      <c r="D4" s="79" t="s">
        <v>152</v>
      </c>
      <c r="E4" s="79" t="s">
        <v>153</v>
      </c>
      <c r="F4" s="79" t="s">
        <v>154</v>
      </c>
      <c r="G4" s="79" t="s">
        <v>155</v>
      </c>
      <c r="H4" s="194" t="s">
        <v>156</v>
      </c>
      <c r="I4" s="194" t="s">
        <v>157</v>
      </c>
      <c r="J4" s="194" t="s">
        <v>158</v>
      </c>
      <c r="K4" s="194" t="s">
        <v>159</v>
      </c>
      <c r="L4" s="195" t="s">
        <v>160</v>
      </c>
      <c r="M4" s="80"/>
    </row>
    <row r="5" spans="1:26">
      <c r="A5" s="82" t="s">
        <v>60</v>
      </c>
      <c r="B5" s="7"/>
      <c r="C5" s="7"/>
      <c r="D5" s="7"/>
      <c r="E5" s="7"/>
      <c r="F5" s="7"/>
      <c r="G5" s="7"/>
      <c r="H5" s="80"/>
      <c r="I5" s="80"/>
      <c r="J5" s="80"/>
      <c r="K5" s="80"/>
      <c r="L5" s="81"/>
      <c r="N5" s="160" t="s">
        <v>7</v>
      </c>
      <c r="O5" s="156">
        <v>2021</v>
      </c>
      <c r="P5" s="141">
        <v>2022</v>
      </c>
      <c r="Q5" s="156">
        <v>2023</v>
      </c>
      <c r="R5" s="141">
        <v>2024</v>
      </c>
      <c r="S5" s="141">
        <v>2025</v>
      </c>
      <c r="T5" s="156" t="s">
        <v>161</v>
      </c>
      <c r="U5" s="1"/>
    </row>
    <row r="6" spans="1:26">
      <c r="A6" s="83" t="s">
        <v>64</v>
      </c>
      <c r="B6" s="84"/>
      <c r="C6" s="29">
        <v>30953.9</v>
      </c>
      <c r="D6" s="29">
        <v>34028.9</v>
      </c>
      <c r="E6" s="29">
        <v>37388.5</v>
      </c>
      <c r="F6" s="29">
        <v>33494</v>
      </c>
      <c r="G6" s="29">
        <v>34392</v>
      </c>
      <c r="H6" s="93">
        <f>G6*(1+$T6)</f>
        <v>35429.923491868445</v>
      </c>
      <c r="I6" s="93">
        <f t="shared" ref="I6:K6" si="0">H6*(1+$T6)</f>
        <v>36499.170697826572</v>
      </c>
      <c r="J6" s="93">
        <f t="shared" si="0"/>
        <v>37600.686942912362</v>
      </c>
      <c r="K6" s="93">
        <f t="shared" si="0"/>
        <v>38735.446081329428</v>
      </c>
      <c r="L6" s="190">
        <f>K6*(1+$T6)</f>
        <v>39904.45135743478</v>
      </c>
      <c r="M6" s="93"/>
      <c r="N6" s="156" t="s">
        <v>162</v>
      </c>
      <c r="O6" s="156"/>
      <c r="P6" s="159">
        <f>(D6/C6)-1</f>
        <v>9.9341278481871464E-2</v>
      </c>
      <c r="Q6" s="159">
        <f>(E6/D6)-1</f>
        <v>9.872784603675111E-2</v>
      </c>
      <c r="R6" s="159">
        <f>(F6/E6)-1</f>
        <v>-0.10416304478649852</v>
      </c>
      <c r="S6" s="159">
        <f>(G6/F6)-1</f>
        <v>2.6810772078581291E-2</v>
      </c>
      <c r="T6" s="159">
        <f>AVERAGE(O6:S6)</f>
        <v>3.0179212952676338E-2</v>
      </c>
      <c r="U6" s="10"/>
      <c r="V6" s="161" t="s">
        <v>163</v>
      </c>
      <c r="W6" s="162">
        <f>2.3%</f>
        <v>2.3E-2</v>
      </c>
    </row>
    <row r="7" spans="1:26">
      <c r="A7" s="83" t="s">
        <v>66</v>
      </c>
      <c r="B7" s="84"/>
      <c r="C7" s="29">
        <v>-22143.7</v>
      </c>
      <c r="D7" s="29">
        <v>-23713.1</v>
      </c>
      <c r="E7" s="29">
        <v>-27048.2</v>
      </c>
      <c r="F7" s="29">
        <v>-23740</v>
      </c>
      <c r="G7" s="29">
        <v>-23620</v>
      </c>
      <c r="H7" s="93">
        <f>G7*(1+$W$6)</f>
        <v>-24163.26</v>
      </c>
      <c r="I7" s="93">
        <f t="shared" ref="I7:L7" si="1">H7*(1+$W$6)</f>
        <v>-24719.014979999996</v>
      </c>
      <c r="J7" s="93">
        <f t="shared" si="1"/>
        <v>-25287.552324539993</v>
      </c>
      <c r="K7" s="93">
        <f t="shared" si="1"/>
        <v>-25869.166028004409</v>
      </c>
      <c r="L7" s="93">
        <f t="shared" si="1"/>
        <v>-26464.156846648508</v>
      </c>
      <c r="M7" s="93"/>
      <c r="N7" s="156" t="s">
        <v>164</v>
      </c>
      <c r="O7" s="159">
        <f>-C7/C6</f>
        <v>0.71537673766472076</v>
      </c>
      <c r="P7" s="159">
        <f>-D7/D6</f>
        <v>0.69685179362247962</v>
      </c>
      <c r="Q7" s="159">
        <f>-E7/E6</f>
        <v>0.72343635074956203</v>
      </c>
      <c r="R7" s="159">
        <f>-F7/F6</f>
        <v>0.70878366274556637</v>
      </c>
      <c r="S7" s="159">
        <f>-G7/G6</f>
        <v>0.68678762502907653</v>
      </c>
      <c r="T7" s="159">
        <f>AVERAGE(O7:S7)</f>
        <v>0.70624723396228095</v>
      </c>
      <c r="U7" s="10"/>
      <c r="V7" s="163" t="s">
        <v>165</v>
      </c>
      <c r="W7" s="164">
        <f>((1+T6)/(1+W6))-1</f>
        <v>7.0178034728018979E-3</v>
      </c>
      <c r="Z7" s="14"/>
    </row>
    <row r="8" spans="1:26" ht="15" customHeight="1">
      <c r="A8" s="113" t="s">
        <v>69</v>
      </c>
      <c r="B8" s="88"/>
      <c r="C8" s="121">
        <f>C6+C7</f>
        <v>8810.2000000000007</v>
      </c>
      <c r="D8" s="121">
        <f t="shared" ref="D8:G8" si="2">D6+D7</f>
        <v>10315.800000000003</v>
      </c>
      <c r="E8" s="121">
        <f t="shared" si="2"/>
        <v>10340.299999999999</v>
      </c>
      <c r="F8" s="121">
        <f t="shared" si="2"/>
        <v>9754</v>
      </c>
      <c r="G8" s="121">
        <f t="shared" si="2"/>
        <v>10772</v>
      </c>
      <c r="H8" s="239">
        <f>H6+H7</f>
        <v>11266.663491868447</v>
      </c>
      <c r="I8" s="239">
        <f>I6+I7</f>
        <v>11780.155717826576</v>
      </c>
      <c r="J8" s="239">
        <f>J6+J7</f>
        <v>12313.134618372369</v>
      </c>
      <c r="K8" s="239">
        <f>K6+K7</f>
        <v>12866.280053325019</v>
      </c>
      <c r="L8" s="241">
        <f>L6+L7</f>
        <v>13440.294510786272</v>
      </c>
      <c r="M8" s="93"/>
      <c r="N8" s="156" t="s">
        <v>166</v>
      </c>
      <c r="O8" s="159">
        <f>-C10/C6</f>
        <v>0.21407318625439764</v>
      </c>
      <c r="P8" s="159">
        <f t="shared" ref="P8:S8" si="3">-D10/D6</f>
        <v>0.20839345379956448</v>
      </c>
      <c r="Q8" s="159">
        <f t="shared" si="3"/>
        <v>0.1992323842892868</v>
      </c>
      <c r="R8" s="159">
        <f t="shared" si="3"/>
        <v>0.20988833820982863</v>
      </c>
      <c r="S8" s="159">
        <f t="shared" si="3"/>
        <v>0.20638520586182832</v>
      </c>
      <c r="T8" s="159">
        <f>AVERAGE(O8:S8)</f>
        <v>0.20759451368298118</v>
      </c>
      <c r="U8" s="10"/>
      <c r="V8" s="141"/>
      <c r="W8" s="141"/>
    </row>
    <row r="9" spans="1:26" ht="15" customHeight="1">
      <c r="A9" s="114" t="s">
        <v>73</v>
      </c>
      <c r="B9" s="85"/>
      <c r="C9" s="90"/>
      <c r="D9" s="90"/>
      <c r="E9" s="90"/>
      <c r="F9" s="90"/>
      <c r="G9" s="90"/>
      <c r="H9" s="90"/>
      <c r="I9" s="93"/>
      <c r="J9" s="90"/>
      <c r="K9" s="90"/>
      <c r="L9" s="191"/>
      <c r="N9" s="156" t="s">
        <v>167</v>
      </c>
      <c r="O9" s="159">
        <f>-C32/C29</f>
        <v>0.24878048780487808</v>
      </c>
      <c r="P9" s="159">
        <f>-D32/D29</f>
        <v>0.26043529351657896</v>
      </c>
      <c r="Q9" s="159">
        <f>-E32/E29</f>
        <v>0.23010419600112644</v>
      </c>
      <c r="R9" s="159">
        <f>-F32/F29</f>
        <v>0.20733104238258879</v>
      </c>
      <c r="S9" s="159">
        <f>-G32/G29</f>
        <v>0.31834831834831834</v>
      </c>
      <c r="T9" s="159">
        <f>AVERAGE(O9:S9)</f>
        <v>0.25299986761069809</v>
      </c>
      <c r="U9" s="10"/>
      <c r="V9" s="165"/>
      <c r="W9" s="166"/>
    </row>
    <row r="10" spans="1:26">
      <c r="A10" s="116" t="s">
        <v>74</v>
      </c>
      <c r="B10" s="7"/>
      <c r="C10" s="122">
        <f>C11+C12+C13</f>
        <v>-6626.4</v>
      </c>
      <c r="D10" s="122">
        <f t="shared" ref="D10:L10" si="4">D11+D12+D13</f>
        <v>-7091.4</v>
      </c>
      <c r="E10" s="122">
        <f t="shared" si="4"/>
        <v>-7449</v>
      </c>
      <c r="F10" s="122">
        <f t="shared" si="4"/>
        <v>-7030</v>
      </c>
      <c r="G10" s="122">
        <f t="shared" si="4"/>
        <v>-7098</v>
      </c>
      <c r="H10" s="122">
        <f t="shared" si="4"/>
        <v>-7417.41</v>
      </c>
      <c r="I10" s="122">
        <f t="shared" si="4"/>
        <v>-7751.1934499999988</v>
      </c>
      <c r="J10" s="122">
        <f t="shared" si="4"/>
        <v>-8099.9971552499983</v>
      </c>
      <c r="K10" s="122">
        <f t="shared" si="4"/>
        <v>-8464.497027236248</v>
      </c>
      <c r="L10" s="122">
        <f t="shared" si="4"/>
        <v>-8845.3993934618793</v>
      </c>
      <c r="M10" s="189"/>
      <c r="N10" s="158" t="s">
        <v>168</v>
      </c>
      <c r="O10" s="159">
        <f>-C23/(('Balance sheet'!C50+'Balance sheet'!C41)/2)</f>
        <v>0.20095187731359071</v>
      </c>
      <c r="P10" s="159">
        <f>-D23/(('Balance sheet'!D50+'Balance sheet'!D41)/2)</f>
        <v>0.11930106447077725</v>
      </c>
      <c r="Q10" s="159">
        <f>-E23/(('Balance sheet'!E50+'Balance sheet'!E41)/2)</f>
        <v>0.25578841838926814</v>
      </c>
      <c r="R10" s="159">
        <f>-F23/(('Balance sheet'!F50+'Balance sheet'!F41)/2)</f>
        <v>0.49754448112068272</v>
      </c>
      <c r="S10" s="159">
        <f>-G23/(('Balance sheet'!G50+'Balance sheet'!G41)/2)</f>
        <v>0.40336134453781514</v>
      </c>
      <c r="T10" s="157">
        <f>AVERAGE(P10:S10)</f>
        <v>0.31899882712963579</v>
      </c>
      <c r="V10" s="165" t="s">
        <v>169</v>
      </c>
      <c r="W10" s="162">
        <v>4.4999999999999998E-2</v>
      </c>
    </row>
    <row r="11" spans="1:26">
      <c r="A11" s="89" t="s">
        <v>170</v>
      </c>
      <c r="B11" s="85"/>
      <c r="C11" s="29">
        <v>-4047.8</v>
      </c>
      <c r="D11" s="29">
        <v>-4350.3</v>
      </c>
      <c r="E11" s="29">
        <v>-4702</v>
      </c>
      <c r="F11" s="29">
        <v>-4377</v>
      </c>
      <c r="G11" s="29">
        <v>-4386</v>
      </c>
      <c r="H11" s="93">
        <f>G11*(1+$W$10)</f>
        <v>-4583.37</v>
      </c>
      <c r="I11" s="93">
        <f t="shared" ref="H11:L14" si="5">H11*(1+$W$10)</f>
        <v>-4789.6216499999991</v>
      </c>
      <c r="J11" s="93">
        <f t="shared" si="5"/>
        <v>-5005.154624249999</v>
      </c>
      <c r="K11" s="93">
        <f t="shared" si="5"/>
        <v>-5230.3865823412489</v>
      </c>
      <c r="L11" s="192">
        <f t="shared" si="5"/>
        <v>-5465.7539785466051</v>
      </c>
      <c r="N11" s="156" t="s">
        <v>171</v>
      </c>
      <c r="O11" s="159">
        <f>'Income Statemnt'!C24/'Balance sheet'!C21</f>
        <v>1.2952169488389302E-3</v>
      </c>
      <c r="P11" s="159">
        <f>'Income Statemnt'!D24/'Balance sheet'!D21</f>
        <v>1.2725154583744061E-2</v>
      </c>
      <c r="Q11" s="159">
        <f>'Income Statemnt'!E24/'Balance sheet'!E21</f>
        <v>3.5426540284360188E-2</v>
      </c>
      <c r="R11" s="159">
        <f>'Income Statemnt'!F24/'Balance sheet'!F21</f>
        <v>1.3538461538461539E-2</v>
      </c>
      <c r="S11" s="159">
        <f>'Income Statemnt'!G24/'Balance sheet'!G21</f>
        <v>4.4639947865754315E-2</v>
      </c>
      <c r="T11" s="157">
        <f>AVERAGE(O11:S11)</f>
        <v>2.1525064244231805E-2</v>
      </c>
      <c r="V11" s="141"/>
      <c r="W11" s="141"/>
    </row>
    <row r="12" spans="1:26">
      <c r="A12" s="89" t="s">
        <v>172</v>
      </c>
      <c r="B12" s="85"/>
      <c r="C12" s="29">
        <v>-905.5</v>
      </c>
      <c r="D12" s="29">
        <v>-906.9</v>
      </c>
      <c r="E12" s="29">
        <v>-969.1</v>
      </c>
      <c r="F12" s="29">
        <v>-805</v>
      </c>
      <c r="G12" s="29">
        <v>-900</v>
      </c>
      <c r="H12" s="93">
        <f t="shared" si="5"/>
        <v>-940.49999999999989</v>
      </c>
      <c r="I12" s="93">
        <f t="shared" si="5"/>
        <v>-982.82249999999976</v>
      </c>
      <c r="J12" s="93">
        <f t="shared" si="5"/>
        <v>-1027.0495124999998</v>
      </c>
      <c r="K12" s="93">
        <f t="shared" si="5"/>
        <v>-1073.2667405624998</v>
      </c>
      <c r="L12" s="190">
        <f t="shared" si="5"/>
        <v>-1121.5637438878123</v>
      </c>
      <c r="N12" s="156" t="s">
        <v>173</v>
      </c>
      <c r="O12" s="159">
        <f>(C27/C6)</f>
        <v>1.1174682350204659E-2</v>
      </c>
      <c r="P12" s="159">
        <f>(D27/D6)</f>
        <v>1.4046883678285221E-2</v>
      </c>
      <c r="Q12" s="159">
        <f>(E27/E6)</f>
        <v>1.8631397354801609E-2</v>
      </c>
      <c r="R12" s="159">
        <f>(F27/F6)</f>
        <v>2.1615811787185763E-2</v>
      </c>
      <c r="S12" s="159">
        <f>(G27/G6)</f>
        <v>1.0932775063968364E-2</v>
      </c>
      <c r="T12" s="157">
        <f>AVERAGE(O12:S12)</f>
        <v>1.5280310046889123E-2</v>
      </c>
      <c r="V12" s="141"/>
      <c r="W12" s="141"/>
    </row>
    <row r="13" spans="1:26">
      <c r="A13" s="89" t="s">
        <v>174</v>
      </c>
      <c r="B13" s="85"/>
      <c r="C13" s="29">
        <v>-1673.1</v>
      </c>
      <c r="D13" s="29">
        <v>-1834.2</v>
      </c>
      <c r="E13" s="29">
        <v>-1777.9</v>
      </c>
      <c r="F13" s="29">
        <v>-1848</v>
      </c>
      <c r="G13" s="29">
        <v>-1812</v>
      </c>
      <c r="H13" s="93">
        <f t="shared" si="5"/>
        <v>-1893.54</v>
      </c>
      <c r="I13" s="93">
        <f t="shared" si="5"/>
        <v>-1978.7492999999997</v>
      </c>
      <c r="J13" s="93">
        <f t="shared" si="5"/>
        <v>-2067.7930184999996</v>
      </c>
      <c r="K13" s="93">
        <f t="shared" si="5"/>
        <v>-2160.8437043324993</v>
      </c>
      <c r="L13" s="190">
        <f t="shared" si="5"/>
        <v>-2258.0816710274617</v>
      </c>
      <c r="N13" s="156" t="s">
        <v>175</v>
      </c>
      <c r="O13" s="159">
        <f>C26/C6</f>
        <v>5.7504870145603626E-4</v>
      </c>
      <c r="P13" s="159">
        <f>D26/D6</f>
        <v>6.6708004078885885E-4</v>
      </c>
      <c r="Q13" s="159">
        <f>E26/E6</f>
        <v>4.8143145619642405E-4</v>
      </c>
      <c r="R13" s="159">
        <f>F26/F6</f>
        <v>6.5683405983161158E-4</v>
      </c>
      <c r="S13" s="159">
        <f>G26/G6</f>
        <v>5.524540590835078E-4</v>
      </c>
      <c r="T13" s="157">
        <f>AVERAGE(O13:S13)</f>
        <v>5.8656966347128778E-4</v>
      </c>
      <c r="V13" s="167" t="s">
        <v>176</v>
      </c>
      <c r="W13" s="168">
        <v>0.27</v>
      </c>
    </row>
    <row r="14" spans="1:26">
      <c r="A14" s="89" t="s">
        <v>177</v>
      </c>
      <c r="B14" s="85"/>
      <c r="C14" s="29">
        <v>219</v>
      </c>
      <c r="D14" s="29">
        <v>218.8</v>
      </c>
      <c r="E14" s="29">
        <v>167.9</v>
      </c>
      <c r="F14" s="29">
        <v>94</v>
      </c>
      <c r="G14" s="29">
        <v>157</v>
      </c>
      <c r="H14" s="90">
        <f t="shared" si="5"/>
        <v>164.065</v>
      </c>
      <c r="I14" s="90">
        <f t="shared" si="5"/>
        <v>171.447925</v>
      </c>
      <c r="J14" s="90">
        <f t="shared" si="5"/>
        <v>179.16308162499999</v>
      </c>
      <c r="K14" s="90">
        <f t="shared" si="5"/>
        <v>187.22542029812499</v>
      </c>
      <c r="L14" s="193">
        <f t="shared" si="5"/>
        <v>195.6505642115406</v>
      </c>
      <c r="Q14"/>
      <c r="T14" s="14"/>
    </row>
    <row r="15" spans="1:26">
      <c r="A15" s="89" t="s">
        <v>178</v>
      </c>
      <c r="B15" s="85"/>
      <c r="C15" s="18">
        <v>-51.7</v>
      </c>
      <c r="D15" s="18">
        <v>-12.5</v>
      </c>
      <c r="E15" s="18">
        <v>59</v>
      </c>
      <c r="F15" s="18">
        <v>20</v>
      </c>
      <c r="G15" s="18">
        <v>1</v>
      </c>
      <c r="H15" s="24">
        <v>1</v>
      </c>
      <c r="I15" s="60">
        <v>1</v>
      </c>
      <c r="J15" s="24">
        <v>1</v>
      </c>
      <c r="K15" s="24">
        <v>1</v>
      </c>
      <c r="L15" s="95">
        <v>1</v>
      </c>
      <c r="N15" s="8"/>
      <c r="Q15"/>
      <c r="T15" s="14"/>
    </row>
    <row r="16" spans="1:26" ht="15" customHeight="1">
      <c r="A16" s="87" t="s">
        <v>179</v>
      </c>
      <c r="B16" s="88"/>
      <c r="C16" s="19">
        <v>2235.5</v>
      </c>
      <c r="D16" s="19">
        <v>3430.7</v>
      </c>
      <c r="E16" s="19">
        <v>3118</v>
      </c>
      <c r="F16" s="19">
        <v>2838</v>
      </c>
      <c r="G16" s="19">
        <v>3832</v>
      </c>
      <c r="H16" s="60"/>
      <c r="I16" s="60"/>
      <c r="J16" s="60"/>
      <c r="K16" s="60"/>
      <c r="L16" s="112"/>
      <c r="N16" s="56"/>
      <c r="Q16"/>
      <c r="T16" s="14"/>
    </row>
    <row r="17" spans="1:20" ht="15" customHeight="1">
      <c r="A17" s="92"/>
      <c r="B17" s="85"/>
      <c r="C17" s="117"/>
      <c r="D17" s="115"/>
      <c r="E17" s="115"/>
      <c r="F17" s="115"/>
      <c r="G17" s="115"/>
      <c r="H17" s="80"/>
      <c r="I17" s="85"/>
      <c r="J17" s="80"/>
      <c r="K17" s="80"/>
      <c r="L17" s="81"/>
      <c r="N17" s="8"/>
      <c r="Q17"/>
      <c r="T17" s="14"/>
    </row>
    <row r="18" spans="1:20" ht="26.25" customHeight="1">
      <c r="A18" s="82" t="s">
        <v>180</v>
      </c>
      <c r="B18" s="7"/>
      <c r="C18" s="21"/>
      <c r="D18" s="21"/>
      <c r="E18" s="21"/>
      <c r="F18" s="21"/>
      <c r="G18" s="21"/>
      <c r="H18" s="80"/>
      <c r="I18" s="85"/>
      <c r="J18" s="80"/>
      <c r="K18" s="80"/>
      <c r="L18" s="81"/>
      <c r="N18" s="22"/>
      <c r="Q18"/>
      <c r="T18" s="14"/>
    </row>
    <row r="19" spans="1:20">
      <c r="A19" s="89" t="s">
        <v>181</v>
      </c>
      <c r="B19" s="85"/>
      <c r="C19" s="29">
        <v>-154.19999999999999</v>
      </c>
      <c r="D19" s="29">
        <v>-15.9</v>
      </c>
      <c r="E19" s="29">
        <v>-43.2</v>
      </c>
      <c r="F19" s="29">
        <v>2</v>
      </c>
      <c r="G19" s="29">
        <v>-20</v>
      </c>
      <c r="H19" s="90"/>
      <c r="I19" s="90"/>
      <c r="J19" s="90"/>
      <c r="K19" s="90"/>
      <c r="L19" s="91"/>
    </row>
    <row r="20" spans="1:20" ht="15" customHeight="1">
      <c r="A20" s="113" t="s">
        <v>75</v>
      </c>
      <c r="B20" s="88"/>
      <c r="C20" s="121">
        <v>2081.3000000000002</v>
      </c>
      <c r="D20" s="121">
        <v>3414.8</v>
      </c>
      <c r="E20" s="121">
        <v>3075</v>
      </c>
      <c r="F20" s="121">
        <v>2840</v>
      </c>
      <c r="G20" s="121">
        <v>3812</v>
      </c>
      <c r="H20" s="239">
        <f>H8+H10</f>
        <v>3849.2534918684469</v>
      </c>
      <c r="I20" s="239">
        <f t="shared" ref="I20:L20" si="6">I8+I10</f>
        <v>4028.9622678265769</v>
      </c>
      <c r="J20" s="239">
        <f t="shared" si="6"/>
        <v>4213.1374631223707</v>
      </c>
      <c r="K20" s="239">
        <f t="shared" si="6"/>
        <v>4401.7830260887713</v>
      </c>
      <c r="L20" s="240">
        <f t="shared" si="6"/>
        <v>4594.8951173243931</v>
      </c>
      <c r="N20" s="8"/>
      <c r="Q20"/>
      <c r="T20" s="14"/>
    </row>
    <row r="21" spans="1:20" ht="15" customHeight="1" thickTop="1">
      <c r="A21" s="89" t="s">
        <v>182</v>
      </c>
      <c r="B21" s="85"/>
      <c r="C21" s="29">
        <v>27.2</v>
      </c>
      <c r="D21" s="29">
        <v>28.3</v>
      </c>
      <c r="E21" s="29">
        <v>33</v>
      </c>
      <c r="F21" s="29">
        <v>242</v>
      </c>
      <c r="G21" s="29">
        <v>631</v>
      </c>
      <c r="H21" s="90"/>
      <c r="I21" s="90"/>
      <c r="J21" s="90"/>
      <c r="K21" s="90"/>
      <c r="L21" s="91"/>
      <c r="N21" s="8"/>
      <c r="Q21"/>
      <c r="T21" s="14"/>
    </row>
    <row r="22" spans="1:20" ht="24.75" customHeight="1" thickBot="1">
      <c r="A22" s="118" t="s">
        <v>183</v>
      </c>
      <c r="B22" s="85"/>
      <c r="C22" s="123">
        <f>C20+C21</f>
        <v>2108.5</v>
      </c>
      <c r="D22" s="123">
        <f t="shared" ref="D22:E22" si="7">D20+D21</f>
        <v>3443.1000000000004</v>
      </c>
      <c r="E22" s="123">
        <f t="shared" si="7"/>
        <v>3108</v>
      </c>
      <c r="F22" s="123">
        <v>3082</v>
      </c>
      <c r="G22" s="123">
        <v>4443</v>
      </c>
      <c r="H22" s="203">
        <f>H20+H21</f>
        <v>3849.2534918684469</v>
      </c>
      <c r="I22" s="201">
        <f t="shared" ref="I22:L22" si="8">I20+I21</f>
        <v>4028.9622678265769</v>
      </c>
      <c r="J22" s="201">
        <f t="shared" si="8"/>
        <v>4213.1374631223707</v>
      </c>
      <c r="K22" s="201">
        <f t="shared" si="8"/>
        <v>4401.7830260887713</v>
      </c>
      <c r="L22" s="202">
        <f t="shared" si="8"/>
        <v>4594.8951173243931</v>
      </c>
      <c r="N22" s="8"/>
      <c r="Q22"/>
      <c r="T22" s="14"/>
    </row>
    <row r="23" spans="1:20" ht="15.75" thickTop="1">
      <c r="A23" s="83" t="s">
        <v>77</v>
      </c>
      <c r="B23" s="85"/>
      <c r="C23" s="29">
        <v>-57</v>
      </c>
      <c r="D23" s="29">
        <v>-89.1</v>
      </c>
      <c r="E23" s="29">
        <v>-267.89999999999998</v>
      </c>
      <c r="F23" s="29">
        <v>-309</v>
      </c>
      <c r="G23" s="29">
        <v>-72</v>
      </c>
      <c r="H23" s="93">
        <f>-(('Balance sheet'!H50+'Balance sheet'!H41)/2)*'Income Statemnt'!$T10</f>
        <v>-56.941290642639991</v>
      </c>
      <c r="I23" s="93">
        <f>-(('Balance sheet'!I50+'Balance sheet'!I41)/2)*'Income Statemnt'!$T10</f>
        <v>-56.941290642639991</v>
      </c>
      <c r="J23" s="93">
        <f>-(('Balance sheet'!J50+'Balance sheet'!J41)/2)*'Income Statemnt'!$T10</f>
        <v>-56.941290642639991</v>
      </c>
      <c r="K23" s="93">
        <f>-(('Balance sheet'!K50+'Balance sheet'!K41)/2)*'Income Statemnt'!$T10</f>
        <v>-56.941290642639991</v>
      </c>
      <c r="L23" s="94">
        <f>-(('Balance sheet'!L50+'Balance sheet'!L41)/2)*'Income Statemnt'!$T10</f>
        <v>-56.941290642639991</v>
      </c>
      <c r="N23" s="8"/>
      <c r="Q23"/>
      <c r="T23" s="14"/>
    </row>
    <row r="24" spans="1:20">
      <c r="A24" s="89" t="s">
        <v>184</v>
      </c>
      <c r="B24" s="85"/>
      <c r="C24" s="29">
        <v>2.8</v>
      </c>
      <c r="D24" s="29">
        <v>14.2</v>
      </c>
      <c r="E24" s="29">
        <v>29.9</v>
      </c>
      <c r="F24" s="29">
        <v>22</v>
      </c>
      <c r="G24" s="29">
        <v>137</v>
      </c>
      <c r="H24" s="93">
        <f>'Balance sheet'!H21*'Income Statemnt'!$T11</f>
        <v>126.91177878399073</v>
      </c>
      <c r="I24" s="93">
        <f>'Balance sheet'!I21*'Income Statemnt'!$T11</f>
        <v>187.74161033818982</v>
      </c>
      <c r="J24" s="93">
        <f>'Balance sheet'!J21*'Income Statemnt'!$T11</f>
        <v>262.82103442207034</v>
      </c>
      <c r="K24" s="93">
        <f>'Balance sheet'!K21*'Income Statemnt'!$T11</f>
        <v>352.58055232051697</v>
      </c>
      <c r="L24" s="94">
        <f>'Balance sheet'!L21*'Income Statemnt'!$T11</f>
        <v>457.62286583236818</v>
      </c>
      <c r="N24" s="25"/>
      <c r="Q24"/>
      <c r="T24" s="14"/>
    </row>
    <row r="25" spans="1:20">
      <c r="A25" s="89" t="s">
        <v>185</v>
      </c>
      <c r="B25" s="85"/>
      <c r="C25" s="29">
        <v>-8.6999999999999993</v>
      </c>
      <c r="D25" s="29">
        <v>45.7</v>
      </c>
      <c r="E25" s="29">
        <v>-33.6</v>
      </c>
      <c r="F25" s="29">
        <v>-49</v>
      </c>
      <c r="G25" s="29">
        <v>107</v>
      </c>
      <c r="H25" s="90"/>
      <c r="I25" s="93"/>
      <c r="J25" s="90"/>
      <c r="K25" s="90"/>
      <c r="L25" s="91"/>
      <c r="T25" s="14"/>
    </row>
    <row r="26" spans="1:20">
      <c r="A26" s="89" t="s">
        <v>83</v>
      </c>
      <c r="B26" s="85"/>
      <c r="C26" s="29">
        <v>17.8</v>
      </c>
      <c r="D26" s="29">
        <v>22.7</v>
      </c>
      <c r="E26" s="29">
        <v>18</v>
      </c>
      <c r="F26" s="29">
        <v>22</v>
      </c>
      <c r="G26" s="29">
        <v>19</v>
      </c>
      <c r="H26" s="93">
        <f>G26</f>
        <v>19</v>
      </c>
      <c r="I26" s="93">
        <f>H26</f>
        <v>19</v>
      </c>
      <c r="J26" s="93">
        <f>J6*$T13</f>
        <v>22.055422286393348</v>
      </c>
      <c r="K26" s="93">
        <f>K6*$T13</f>
        <v>22.721037572335614</v>
      </c>
      <c r="L26" s="94">
        <f>L6*$T13</f>
        <v>23.406740603736893</v>
      </c>
    </row>
    <row r="27" spans="1:20">
      <c r="A27" s="89" t="s">
        <v>83</v>
      </c>
      <c r="B27" s="85"/>
      <c r="C27" s="29">
        <v>345.9</v>
      </c>
      <c r="D27" s="29">
        <v>478</v>
      </c>
      <c r="E27" s="29">
        <v>696.6</v>
      </c>
      <c r="F27" s="29">
        <v>724</v>
      </c>
      <c r="G27" s="29">
        <v>376</v>
      </c>
      <c r="H27" s="93">
        <f>H6*$T12</f>
        <v>541.38021589331038</v>
      </c>
      <c r="I27" s="93">
        <f>I6*$T12</f>
        <v>557.71864471712047</v>
      </c>
      <c r="J27" s="93">
        <f>J6*$T12</f>
        <v>574.55015446371647</v>
      </c>
      <c r="K27" s="93">
        <f>K6*$T12</f>
        <v>591.88962592727</v>
      </c>
      <c r="L27" s="94">
        <f>L6*$T12</f>
        <v>609.75238899260899</v>
      </c>
    </row>
    <row r="28" spans="1:20">
      <c r="A28" s="89" t="s">
        <v>186</v>
      </c>
      <c r="B28" s="85"/>
      <c r="C28" s="29">
        <v>0</v>
      </c>
      <c r="D28" s="29">
        <v>0</v>
      </c>
      <c r="E28" s="29">
        <v>0</v>
      </c>
      <c r="F28" s="29">
        <v>0</v>
      </c>
      <c r="G28" s="29">
        <v>996</v>
      </c>
      <c r="H28" s="90"/>
      <c r="I28" s="90"/>
      <c r="J28" s="90"/>
      <c r="K28" s="90"/>
      <c r="L28" s="91"/>
    </row>
    <row r="29" spans="1:20" ht="15" customHeight="1">
      <c r="A29" s="87" t="s">
        <v>84</v>
      </c>
      <c r="B29" s="88"/>
      <c r="C29" s="121">
        <v>2398.5</v>
      </c>
      <c r="D29" s="121">
        <v>3914.6</v>
      </c>
      <c r="E29" s="121">
        <v>3551</v>
      </c>
      <c r="F29" s="121">
        <v>3492</v>
      </c>
      <c r="G29" s="121">
        <v>6006</v>
      </c>
      <c r="H29" s="239">
        <f>H22+H23+H24+H26+H27</f>
        <v>4479.6041959031081</v>
      </c>
      <c r="I29" s="239">
        <f t="shared" ref="I29:L29" si="9">I22+I23+I24+I26+I27</f>
        <v>4736.4812322392472</v>
      </c>
      <c r="J29" s="239">
        <f t="shared" si="9"/>
        <v>5015.622783651911</v>
      </c>
      <c r="K29" s="239">
        <f t="shared" si="9"/>
        <v>5312.0329512662538</v>
      </c>
      <c r="L29" s="240">
        <f t="shared" si="9"/>
        <v>5628.7358221104669</v>
      </c>
    </row>
    <row r="30" spans="1:20" ht="15" customHeight="1">
      <c r="A30" s="92"/>
      <c r="B30" s="85"/>
      <c r="C30" s="115"/>
      <c r="D30" s="115"/>
      <c r="E30" s="115"/>
      <c r="F30" s="115"/>
      <c r="G30" s="115"/>
      <c r="H30" s="80"/>
      <c r="I30" s="85"/>
      <c r="J30" s="80"/>
      <c r="K30" s="80"/>
      <c r="L30" s="81"/>
      <c r="O30" s="10"/>
    </row>
    <row r="31" spans="1:20">
      <c r="A31" s="82" t="s">
        <v>85</v>
      </c>
      <c r="B31" s="7"/>
      <c r="C31" s="21"/>
      <c r="D31" s="21"/>
      <c r="E31" s="21"/>
      <c r="F31" s="21"/>
      <c r="G31" s="21"/>
      <c r="H31" s="80"/>
      <c r="I31" s="85"/>
      <c r="J31" s="80"/>
      <c r="K31" s="80"/>
      <c r="L31" s="81"/>
    </row>
    <row r="32" spans="1:20">
      <c r="A32" s="83" t="s">
        <v>18</v>
      </c>
      <c r="B32" s="85"/>
      <c r="C32" s="29">
        <v>-596.70000000000005</v>
      </c>
      <c r="D32" s="29">
        <v>-1019.5</v>
      </c>
      <c r="E32" s="29">
        <v>-817.1</v>
      </c>
      <c r="F32" s="29">
        <v>-724</v>
      </c>
      <c r="G32" s="29">
        <v>-1912</v>
      </c>
      <c r="H32" s="93">
        <f>-H29*$W$13</f>
        <v>-1209.4931328938392</v>
      </c>
      <c r="I32" s="93">
        <f>-I29*$W$13</f>
        <v>-1278.8499327045968</v>
      </c>
      <c r="J32" s="93">
        <f>-J29*$W$13</f>
        <v>-1354.2181515860161</v>
      </c>
      <c r="K32" s="93">
        <f>-K29*$W$13</f>
        <v>-1434.2488968418886</v>
      </c>
      <c r="L32" s="94">
        <f>-L29*$W$13</f>
        <v>-1519.7586719698261</v>
      </c>
    </row>
    <row r="33" spans="1:12" ht="15" customHeight="1">
      <c r="A33" s="87" t="s">
        <v>187</v>
      </c>
      <c r="B33" s="88"/>
      <c r="C33" s="121">
        <v>1801.8</v>
      </c>
      <c r="D33" s="121">
        <v>2895.1</v>
      </c>
      <c r="E33" s="121">
        <v>2733.9</v>
      </c>
      <c r="F33" s="121">
        <v>2768</v>
      </c>
      <c r="G33" s="238">
        <v>4094</v>
      </c>
      <c r="H33" s="239">
        <f>H29+H32</f>
        <v>3270.1110630092689</v>
      </c>
      <c r="I33" s="239">
        <f t="shared" ref="I33:L33" si="10">I29+I32</f>
        <v>3457.6312995346507</v>
      </c>
      <c r="J33" s="239">
        <f t="shared" si="10"/>
        <v>3661.4046320658949</v>
      </c>
      <c r="K33" s="239">
        <f t="shared" si="10"/>
        <v>3877.7840544243654</v>
      </c>
      <c r="L33" s="240">
        <f t="shared" si="10"/>
        <v>4108.9771501406412</v>
      </c>
    </row>
    <row r="34" spans="1:12" ht="15" customHeight="1">
      <c r="A34" s="89" t="s">
        <v>188</v>
      </c>
      <c r="B34" s="85"/>
      <c r="C34" s="29">
        <v>0</v>
      </c>
      <c r="D34" s="29">
        <v>0</v>
      </c>
      <c r="E34" s="29">
        <v>0</v>
      </c>
      <c r="F34" s="29">
        <v>244</v>
      </c>
      <c r="G34" s="29">
        <v>-243</v>
      </c>
      <c r="H34" s="90"/>
      <c r="I34" s="90"/>
      <c r="J34" s="90"/>
      <c r="K34" s="90"/>
      <c r="L34" s="91"/>
    </row>
    <row r="35" spans="1:12" ht="15" customHeight="1">
      <c r="A35" s="119" t="s">
        <v>189</v>
      </c>
      <c r="B35" s="96"/>
      <c r="C35" s="124">
        <v>1802</v>
      </c>
      <c r="D35" s="124">
        <v>2895.1</v>
      </c>
      <c r="E35" s="124">
        <v>2733.9</v>
      </c>
      <c r="F35" s="124">
        <v>3012</v>
      </c>
      <c r="G35" s="124">
        <v>3851</v>
      </c>
      <c r="H35" s="236">
        <f>H33</f>
        <v>3270.1110630092689</v>
      </c>
      <c r="I35" s="236">
        <f t="shared" ref="I35:K35" si="11">I33</f>
        <v>3457.6312995346507</v>
      </c>
      <c r="J35" s="236">
        <f t="shared" si="11"/>
        <v>3661.4046320658949</v>
      </c>
      <c r="K35" s="236">
        <f t="shared" si="11"/>
        <v>3877.7840544243654</v>
      </c>
      <c r="L35" s="237">
        <f>L33</f>
        <v>4108.9771501406412</v>
      </c>
    </row>
    <row r="36" spans="1:12" ht="15" customHeight="1">
      <c r="C36" s="20"/>
      <c r="D36" s="20"/>
      <c r="E36" s="20"/>
      <c r="F36" s="20"/>
      <c r="G36" s="20"/>
    </row>
    <row r="37" spans="1:12">
      <c r="A37" s="6" t="s">
        <v>190</v>
      </c>
      <c r="B37" s="7"/>
      <c r="C37" s="21"/>
      <c r="D37" s="21"/>
      <c r="E37" s="21"/>
      <c r="F37" s="21"/>
      <c r="G37" s="21"/>
    </row>
    <row r="38" spans="1:12">
      <c r="A38" s="8" t="s">
        <v>191</v>
      </c>
      <c r="C38" s="18">
        <v>1773</v>
      </c>
      <c r="D38" s="18">
        <v>2865</v>
      </c>
      <c r="E38" s="18">
        <v>2697.2</v>
      </c>
      <c r="F38" s="18">
        <v>2983</v>
      </c>
      <c r="G38" s="18">
        <v>3817</v>
      </c>
    </row>
    <row r="39" spans="1:12">
      <c r="A39" s="8" t="s">
        <v>192</v>
      </c>
      <c r="C39" s="18">
        <v>29</v>
      </c>
      <c r="D39" s="18">
        <v>30</v>
      </c>
      <c r="E39" s="18">
        <v>36.700000000000003</v>
      </c>
      <c r="F39" s="18">
        <v>29</v>
      </c>
      <c r="G39" s="18">
        <v>34</v>
      </c>
    </row>
    <row r="40" spans="1:12">
      <c r="C40" s="20">
        <f>'Income Statemnt'!D21-'Income Statemnt'!C21/'Income Statemnt'!C21</f>
        <v>27.3</v>
      </c>
      <c r="D40" s="20"/>
      <c r="E40" s="20"/>
      <c r="F40" s="20"/>
      <c r="G40" s="20"/>
    </row>
    <row r="41" spans="1:12">
      <c r="A41" s="6" t="s">
        <v>193</v>
      </c>
      <c r="B41" s="7"/>
      <c r="C41" s="21"/>
      <c r="D41" s="21"/>
      <c r="E41" s="21"/>
      <c r="F41" s="21"/>
      <c r="G41" s="21"/>
    </row>
    <row r="42" spans="1:12">
      <c r="A42" s="8" t="s">
        <v>194</v>
      </c>
      <c r="C42" s="18">
        <v>1065</v>
      </c>
      <c r="D42" s="18">
        <v>1762</v>
      </c>
      <c r="E42" s="18">
        <v>1725</v>
      </c>
      <c r="F42" s="18">
        <v>1914</v>
      </c>
      <c r="G42" s="18">
        <v>2482</v>
      </c>
    </row>
    <row r="43" spans="1:12">
      <c r="A43" s="8" t="s">
        <v>195</v>
      </c>
      <c r="C43" s="18">
        <v>1050</v>
      </c>
      <c r="D43" s="18">
        <v>1738</v>
      </c>
      <c r="E43" s="18">
        <v>1700</v>
      </c>
      <c r="F43" s="18">
        <v>1888</v>
      </c>
      <c r="G43" s="18">
        <v>2449</v>
      </c>
    </row>
    <row r="45" spans="1:12" ht="28.35" customHeight="1"/>
    <row r="52" spans="1:7">
      <c r="A52" s="313" t="s">
        <v>196</v>
      </c>
      <c r="B52" s="313"/>
      <c r="C52" s="313"/>
      <c r="D52" s="313"/>
      <c r="E52" s="313"/>
      <c r="F52" s="313"/>
      <c r="G52" s="313"/>
    </row>
  </sheetData>
  <mergeCells count="5">
    <mergeCell ref="A2:G2"/>
    <mergeCell ref="A3:G3"/>
    <mergeCell ref="H3:L3"/>
    <mergeCell ref="A52:G52"/>
    <mergeCell ref="A1:L1"/>
  </mergeCells>
  <pageMargins left="0.7" right="0.7" top="0.75" bottom="0.75" header="0.511811023622047" footer="0.511811023622047"/>
  <pageSetup paperSize="9" orientation="portrait"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4"/>
  <sheetViews>
    <sheetView zoomScaleNormal="100" workbookViewId="0">
      <selection activeCell="H21" sqref="H21"/>
    </sheetView>
  </sheetViews>
  <sheetFormatPr defaultColWidth="8.5703125" defaultRowHeight="15"/>
  <cols>
    <col min="1" max="1" width="30.28515625" style="1" customWidth="1"/>
    <col min="8" max="8" width="12.42578125" bestFit="1" customWidth="1"/>
    <col min="9" max="12" width="13" bestFit="1" customWidth="1"/>
    <col min="14" max="14" width="29.28515625" bestFit="1" customWidth="1"/>
    <col min="16" max="16" width="19" bestFit="1" customWidth="1"/>
    <col min="17" max="20" width="9.140625" bestFit="1" customWidth="1"/>
    <col min="22" max="22" width="1.28515625" customWidth="1"/>
    <col min="23" max="23" width="21.85546875" customWidth="1"/>
  </cols>
  <sheetData>
    <row r="1" spans="1:28" ht="16.5" customHeight="1">
      <c r="A1" s="314" t="s">
        <v>197</v>
      </c>
      <c r="B1" s="314"/>
      <c r="C1" s="314"/>
      <c r="D1" s="314"/>
      <c r="E1" s="314"/>
      <c r="F1" s="314"/>
      <c r="G1" s="314"/>
      <c r="H1" s="314"/>
      <c r="I1" s="314"/>
      <c r="J1" s="314"/>
      <c r="K1" s="314"/>
      <c r="L1" s="314"/>
    </row>
    <row r="2" spans="1:28">
      <c r="A2" s="308" t="s">
        <v>150</v>
      </c>
      <c r="B2" s="308"/>
      <c r="C2" s="308"/>
      <c r="D2" s="308"/>
      <c r="E2" s="308"/>
      <c r="F2" s="308"/>
      <c r="G2" s="308"/>
      <c r="H2" s="299" t="s">
        <v>55</v>
      </c>
      <c r="I2" s="299"/>
      <c r="J2" s="299"/>
      <c r="K2" s="299"/>
      <c r="L2" s="299"/>
      <c r="N2" s="246" t="s">
        <v>7</v>
      </c>
      <c r="O2" s="212"/>
      <c r="P2" s="212"/>
      <c r="Q2" s="212"/>
      <c r="R2" s="212"/>
      <c r="S2" s="212"/>
      <c r="T2" s="212"/>
      <c r="U2" s="217"/>
    </row>
    <row r="3" spans="1:28">
      <c r="A3" s="2" t="s">
        <v>57</v>
      </c>
      <c r="B3" s="3" t="s">
        <v>198</v>
      </c>
      <c r="C3" s="4" t="s">
        <v>151</v>
      </c>
      <c r="D3" s="4" t="s">
        <v>152</v>
      </c>
      <c r="E3" s="4" t="s">
        <v>153</v>
      </c>
      <c r="F3" s="4" t="s">
        <v>154</v>
      </c>
      <c r="G3" s="4" t="s">
        <v>155</v>
      </c>
      <c r="H3" s="242" t="s">
        <v>156</v>
      </c>
      <c r="I3" s="242" t="s">
        <v>157</v>
      </c>
      <c r="J3" s="242" t="s">
        <v>158</v>
      </c>
      <c r="K3" s="242" t="s">
        <v>159</v>
      </c>
      <c r="L3" s="242" t="s">
        <v>160</v>
      </c>
      <c r="N3" s="214"/>
      <c r="O3" s="166">
        <v>2021</v>
      </c>
      <c r="P3" s="166">
        <v>2022</v>
      </c>
      <c r="Q3" s="166">
        <v>2023</v>
      </c>
      <c r="R3" s="166">
        <v>2024</v>
      </c>
      <c r="S3" s="166">
        <v>2025</v>
      </c>
      <c r="T3" s="226" t="s">
        <v>199</v>
      </c>
      <c r="U3" s="218"/>
      <c r="V3" s="231"/>
      <c r="W3" s="234"/>
      <c r="X3" s="183">
        <v>2026</v>
      </c>
      <c r="Y3" s="183">
        <v>2027</v>
      </c>
      <c r="Z3" s="183">
        <v>2028</v>
      </c>
      <c r="AA3" s="183">
        <v>2029</v>
      </c>
      <c r="AB3" s="184">
        <v>2030</v>
      </c>
    </row>
    <row r="4" spans="1:28" ht="30">
      <c r="A4" s="145" t="s">
        <v>200</v>
      </c>
      <c r="B4" s="146"/>
      <c r="C4" s="146"/>
      <c r="D4" s="146"/>
      <c r="E4" s="146"/>
      <c r="F4" s="146"/>
      <c r="G4" s="153"/>
      <c r="H4" s="154"/>
      <c r="I4" s="154"/>
      <c r="J4" s="154"/>
      <c r="K4" s="154"/>
      <c r="L4" s="155"/>
      <c r="N4" s="214" t="s">
        <v>201</v>
      </c>
      <c r="O4" s="166"/>
      <c r="P4" s="210">
        <f>(D5/C5)-1</f>
        <v>1.5242115136593348E-3</v>
      </c>
      <c r="Q4" s="210">
        <f t="shared" ref="Q4:S4" si="0">(E5/D5)-1</f>
        <v>-1.5218918286116212E-3</v>
      </c>
      <c r="R4" s="210">
        <f t="shared" si="0"/>
        <v>0.11771602767030132</v>
      </c>
      <c r="S4" s="210">
        <f t="shared" si="0"/>
        <v>0.24263086121892363</v>
      </c>
      <c r="T4" s="210">
        <f>AVERAGE(P4:S4)</f>
        <v>9.0087302143568165E-2</v>
      </c>
      <c r="U4" s="218"/>
      <c r="V4" s="231"/>
      <c r="W4" s="235" t="s">
        <v>202</v>
      </c>
      <c r="X4" s="232">
        <f>H15+H32+H43</f>
        <v>1438.919972121598</v>
      </c>
      <c r="Y4" s="232">
        <f>I15+I32+I43</f>
        <v>2052.5934348999008</v>
      </c>
      <c r="Z4" s="232">
        <f>J15+J32+J43</f>
        <v>2670.7777657767992</v>
      </c>
      <c r="AA4" s="232">
        <f>K15+K32+K43</f>
        <v>3306.9201694695275</v>
      </c>
      <c r="AB4" s="233">
        <f>L15+L32+L43</f>
        <v>3969.750508321169</v>
      </c>
    </row>
    <row r="5" spans="1:28">
      <c r="A5" s="83" t="s">
        <v>203</v>
      </c>
      <c r="B5" s="84" t="s">
        <v>204</v>
      </c>
      <c r="C5" s="16">
        <v>4264.5</v>
      </c>
      <c r="D5" s="16">
        <v>4271</v>
      </c>
      <c r="E5" s="16">
        <v>4264.5</v>
      </c>
      <c r="F5" s="16">
        <v>4766.5</v>
      </c>
      <c r="G5" s="16">
        <v>5923</v>
      </c>
      <c r="H5" s="90">
        <f>G5*(1+$T4)</f>
        <v>6456.5870905963548</v>
      </c>
      <c r="I5" s="90">
        <f>H5*(1+$T4)</f>
        <v>7038.2436026431706</v>
      </c>
      <c r="J5" s="90">
        <f>I5*(1+$T4)</f>
        <v>7672.2999806345215</v>
      </c>
      <c r="K5" s="90">
        <f>J5*(1+$T4)</f>
        <v>8363.4767871260356</v>
      </c>
      <c r="L5" s="91">
        <f>K5*(1+$T4)</f>
        <v>9116.9198474185778</v>
      </c>
      <c r="N5" s="214" t="s">
        <v>205</v>
      </c>
      <c r="O5" s="166">
        <f>C6/'Income Statemnt'!C6</f>
        <v>3.5472105292063357E-3</v>
      </c>
      <c r="P5" s="210">
        <f>D6/'Income Statemnt'!D6</f>
        <v>-4.6642706640532015E-2</v>
      </c>
      <c r="Q5" s="210">
        <f>E6/'Income Statemnt'!E6</f>
        <v>-4.1758829586637604E-2</v>
      </c>
      <c r="R5" s="210">
        <f>F6/'Income Statemnt'!F6</f>
        <v>2.1956171254553052E-2</v>
      </c>
      <c r="S5" s="210">
        <f>G6/'Income Statemnt'!G6</f>
        <v>3.4484763898581065E-2</v>
      </c>
      <c r="T5" s="210">
        <f>AVERAGE(O5:S5)</f>
        <v>-5.6826781089658312E-3</v>
      </c>
      <c r="U5" s="218"/>
    </row>
    <row r="6" spans="1:28">
      <c r="A6" s="83" t="s">
        <v>206</v>
      </c>
      <c r="B6" s="84" t="s">
        <v>207</v>
      </c>
      <c r="C6" s="16">
        <v>109.8</v>
      </c>
      <c r="D6" s="16">
        <v>-1587.2</v>
      </c>
      <c r="E6" s="16">
        <v>-1561.3</v>
      </c>
      <c r="F6" s="16">
        <v>735.4</v>
      </c>
      <c r="G6" s="16">
        <v>1186</v>
      </c>
      <c r="H6" s="93">
        <f>'Income Statemnt'!H6*'Cash flow'!$T5</f>
        <v>-201.33685062957505</v>
      </c>
      <c r="I6" s="93">
        <f>'Income Statemnt'!I6*'Cash flow'!$T5</f>
        <v>-207.41303831994617</v>
      </c>
      <c r="J6" s="93">
        <f>'Income Statemnt'!J6*'Cash flow'!$T5</f>
        <v>-213.67260057256544</v>
      </c>
      <c r="K6" s="93">
        <f>'Income Statemnt'!K6*'Cash flow'!$T5</f>
        <v>-220.12107148739702</v>
      </c>
      <c r="L6" s="94">
        <f>'Income Statemnt'!L6*'Cash flow'!$T5</f>
        <v>-226.76415217918648</v>
      </c>
      <c r="N6" s="214"/>
      <c r="O6" s="166"/>
      <c r="P6" s="210"/>
      <c r="Q6" s="210"/>
      <c r="R6" s="210"/>
      <c r="S6" s="210"/>
      <c r="T6" s="210"/>
      <c r="U6" s="218"/>
    </row>
    <row r="7" spans="1:28" ht="15" customHeight="1">
      <c r="A7" s="87" t="s">
        <v>208</v>
      </c>
      <c r="B7" s="88"/>
      <c r="C7" s="23">
        <v>3954.8</v>
      </c>
      <c r="D7" s="23">
        <v>2683.8</v>
      </c>
      <c r="E7" s="23">
        <v>2703.2</v>
      </c>
      <c r="F7" s="23">
        <v>5501.9</v>
      </c>
      <c r="G7" s="23">
        <v>7109</v>
      </c>
      <c r="H7" s="224">
        <f>H5+H6</f>
        <v>6255.2502399667801</v>
      </c>
      <c r="I7" s="224">
        <f t="shared" ref="I7:L7" si="1">I5+I6</f>
        <v>6830.8305643232243</v>
      </c>
      <c r="J7" s="224">
        <f t="shared" si="1"/>
        <v>7458.6273800619565</v>
      </c>
      <c r="K7" s="224">
        <f t="shared" si="1"/>
        <v>8143.3557156386387</v>
      </c>
      <c r="L7" s="225">
        <f t="shared" si="1"/>
        <v>8890.1556952393912</v>
      </c>
      <c r="N7" s="214" t="s">
        <v>209</v>
      </c>
      <c r="O7" s="227">
        <f>C10/('Balance sheet'!C41+'Balance sheet'!C50)</f>
        <v>-0.12057112638815444</v>
      </c>
      <c r="P7" s="227">
        <f>D10/('Balance sheet'!D41+'Balance sheet'!D50)</f>
        <v>-7.0830822789047329E-2</v>
      </c>
      <c r="Q7" s="227">
        <f>E10/('Balance sheet'!E41+'Balance sheet'!E50)</f>
        <v>-0.12230868382107224</v>
      </c>
      <c r="R7" s="227">
        <f>F10/('Balance sheet'!F41+'Balance sheet'!F50)</f>
        <v>-0.25360276950326061</v>
      </c>
      <c r="S7" s="227">
        <f>G10/('Balance sheet'!G41+'Balance sheet'!G50)</f>
        <v>-0.20168067226890757</v>
      </c>
      <c r="T7" s="210">
        <f t="shared" ref="T7" si="2">AVERAGE(P7:S7)</f>
        <v>-0.16210573709557194</v>
      </c>
      <c r="U7" s="218"/>
    </row>
    <row r="8" spans="1:28" ht="15" customHeight="1">
      <c r="A8" s="89" t="s">
        <v>210</v>
      </c>
      <c r="B8" s="80"/>
      <c r="C8" s="16">
        <v>30.6</v>
      </c>
      <c r="D8" s="16">
        <v>44.7</v>
      </c>
      <c r="E8" s="16">
        <v>47.9</v>
      </c>
      <c r="F8" s="16">
        <v>42</v>
      </c>
      <c r="G8" s="16">
        <v>140</v>
      </c>
      <c r="H8" s="90"/>
      <c r="I8" s="90"/>
      <c r="J8" s="90"/>
      <c r="K8" s="90"/>
      <c r="L8" s="91"/>
      <c r="N8" s="214" t="s">
        <v>212</v>
      </c>
      <c r="O8" s="227">
        <f>C12/C7</f>
        <v>-0.18595124911499947</v>
      </c>
      <c r="P8" s="227">
        <f>D12/D7</f>
        <v>-0.3582606751620836</v>
      </c>
      <c r="Q8" s="227">
        <f>E12/E7</f>
        <v>-0.29890500147972776</v>
      </c>
      <c r="R8" s="227">
        <f>F12/F7</f>
        <v>0.15785455933404824</v>
      </c>
      <c r="S8" s="227">
        <f>G12/G7</f>
        <v>-0.19524546349697566</v>
      </c>
      <c r="T8" s="210">
        <f>AVERAGE(O8:S8)</f>
        <v>-0.17610156598394766</v>
      </c>
      <c r="U8" s="218"/>
    </row>
    <row r="9" spans="1:28">
      <c r="A9" s="89" t="s">
        <v>211</v>
      </c>
      <c r="B9" s="80"/>
      <c r="C9" s="16"/>
      <c r="D9" s="16"/>
      <c r="E9" s="16"/>
      <c r="F9" s="16"/>
      <c r="G9" s="16">
        <v>19</v>
      </c>
      <c r="H9" s="90"/>
      <c r="I9" s="90"/>
      <c r="J9" s="90"/>
      <c r="K9" s="90"/>
      <c r="L9" s="91"/>
      <c r="N9" s="214" t="s">
        <v>214</v>
      </c>
      <c r="O9" s="227">
        <f>C14/C13</f>
        <v>-0.51085835608128605</v>
      </c>
      <c r="P9" s="227">
        <f>D14/D13</f>
        <v>-0.68194786030496812</v>
      </c>
      <c r="Q9" s="227">
        <f>E14/E13</f>
        <v>-0.80858324715615304</v>
      </c>
      <c r="R9" s="227">
        <f>F14/F13</f>
        <v>-0.35758486948184948</v>
      </c>
      <c r="S9" s="227">
        <f>G14/G13</f>
        <v>-0.60878517501715856</v>
      </c>
      <c r="T9" s="210">
        <f>AVERAGE(O9:S9)</f>
        <v>-0.59355190160828308</v>
      </c>
      <c r="U9" s="218"/>
    </row>
    <row r="10" spans="1:28">
      <c r="A10" s="83" t="s">
        <v>213</v>
      </c>
      <c r="B10" s="80"/>
      <c r="C10" s="16">
        <v>-68.400000000000006</v>
      </c>
      <c r="D10" s="16">
        <v>-105.8</v>
      </c>
      <c r="E10" s="16">
        <v>-256.2</v>
      </c>
      <c r="F10" s="16">
        <v>-315</v>
      </c>
      <c r="G10" s="16">
        <v>-72</v>
      </c>
      <c r="H10" s="90">
        <f>('Balance sheet'!H41+'Balance sheet'!H50)*$T7</f>
        <v>-57.871748143119184</v>
      </c>
      <c r="I10" s="90">
        <f>('Balance sheet'!I41+'Balance sheet'!I50)*$T7</f>
        <v>-57.871748143119184</v>
      </c>
      <c r="J10" s="90">
        <f>('Balance sheet'!J41+'Balance sheet'!J50)*$T7</f>
        <v>-57.871748143119184</v>
      </c>
      <c r="K10" s="90">
        <f>('Balance sheet'!K41+'Balance sheet'!K50)*$T7</f>
        <v>-57.871748143119184</v>
      </c>
      <c r="L10" s="91">
        <f>('Balance sheet'!L41+'Balance sheet'!L50)*$T7</f>
        <v>-57.871748143119184</v>
      </c>
      <c r="N10" s="214" t="s">
        <v>216</v>
      </c>
      <c r="O10" s="166"/>
      <c r="P10" s="210">
        <f>(D18/C18)-1</f>
        <v>-9.568905987964893E-3</v>
      </c>
      <c r="Q10" s="210">
        <f>(E18/D18)-1</f>
        <v>0.2077689243027887</v>
      </c>
      <c r="R10" s="210">
        <f>(F18/E18)-1</f>
        <v>-0.1997361042388256</v>
      </c>
      <c r="S10" s="210">
        <f>(G18/F18)-1</f>
        <v>0.22526793075020612</v>
      </c>
      <c r="T10" s="210">
        <f>AVERAGE(P10:S10)</f>
        <v>5.5932961206551085E-2</v>
      </c>
      <c r="U10" s="218"/>
    </row>
    <row r="11" spans="1:28">
      <c r="A11" s="89" t="s">
        <v>215</v>
      </c>
      <c r="B11" s="80"/>
      <c r="C11" s="16">
        <v>115.4</v>
      </c>
      <c r="D11" s="16">
        <v>372</v>
      </c>
      <c r="E11" s="16">
        <v>247.1</v>
      </c>
      <c r="F11" s="16">
        <v>229</v>
      </c>
      <c r="G11" s="16">
        <v>20</v>
      </c>
      <c r="H11" s="90"/>
      <c r="I11" s="90"/>
      <c r="J11" s="90"/>
      <c r="K11" s="90"/>
      <c r="L11" s="91"/>
      <c r="N11" s="215" t="s">
        <v>221</v>
      </c>
      <c r="O11" s="166"/>
      <c r="P11" s="210">
        <f>(D49/C49)-1</f>
        <v>-1.7014694508894044</v>
      </c>
      <c r="Q11" s="210">
        <f>(E49/D49)-1</f>
        <v>-1.4443219404630649</v>
      </c>
      <c r="R11" s="210">
        <f>(F49/E49)-1</f>
        <v>0.72952853598014911</v>
      </c>
      <c r="S11" s="210">
        <f>(G49/F49)-1</f>
        <v>-0.59827833572453371</v>
      </c>
      <c r="T11" s="210">
        <f>AVERAGE(O11:S11)</f>
        <v>-0.75363529777421345</v>
      </c>
      <c r="U11" s="218"/>
    </row>
    <row r="12" spans="1:28">
      <c r="A12" s="83" t="s">
        <v>217</v>
      </c>
      <c r="B12" s="84" t="s">
        <v>218</v>
      </c>
      <c r="C12" s="16">
        <v>-735.4</v>
      </c>
      <c r="D12" s="16">
        <v>-961.5</v>
      </c>
      <c r="E12" s="16">
        <v>-808</v>
      </c>
      <c r="F12" s="16">
        <v>868.5</v>
      </c>
      <c r="G12" s="16">
        <v>-1388</v>
      </c>
      <c r="H12" s="90">
        <f>G12*(1+$T8)</f>
        <v>-1143.5710264142806</v>
      </c>
      <c r="I12" s="90">
        <f>H12*(1+$T8)</f>
        <v>-942.18637784885539</v>
      </c>
      <c r="J12" s="90">
        <f>I12*(1+$T8)</f>
        <v>-776.2658812609285</v>
      </c>
      <c r="K12" s="90">
        <f>J12*(1+$T8)</f>
        <v>-639.56424395096985</v>
      </c>
      <c r="L12" s="91">
        <f>K12*(1+$T8)</f>
        <v>-526.93597904386456</v>
      </c>
      <c r="N12" s="214" t="s">
        <v>224</v>
      </c>
      <c r="O12" s="166"/>
      <c r="P12" s="210">
        <f>(D52/C52)-1</f>
        <v>-0.48376353039134057</v>
      </c>
      <c r="Q12" s="210">
        <f>(E52/D52)-1</f>
        <v>-0.30474910394265231</v>
      </c>
      <c r="R12" s="210">
        <f>(F52/E52)-1</f>
        <v>0.67869570820982084</v>
      </c>
      <c r="S12" s="210">
        <f>(G52/F52)-1</f>
        <v>1.4775431861804225</v>
      </c>
      <c r="T12" s="210">
        <f>AVERAGE(P12:S12)</f>
        <v>0.34193156501406263</v>
      </c>
      <c r="U12" s="218"/>
    </row>
    <row r="13" spans="1:28" ht="15" customHeight="1">
      <c r="A13" s="87" t="s">
        <v>220</v>
      </c>
      <c r="B13" s="88"/>
      <c r="C13" s="23">
        <v>3297</v>
      </c>
      <c r="D13" s="23">
        <v>2033</v>
      </c>
      <c r="E13" s="23">
        <v>1934</v>
      </c>
      <c r="F13" s="23">
        <v>4589.3999999999996</v>
      </c>
      <c r="G13" s="23">
        <v>5828</v>
      </c>
      <c r="H13" s="222">
        <f>H7+H8+H9+H10+H11+H12</f>
        <v>5053.8074654093798</v>
      </c>
      <c r="I13" s="222">
        <f t="shared" ref="I13:L13" si="3">I7+I8+I9+I10+I11+I12</f>
        <v>5830.7724383312498</v>
      </c>
      <c r="J13" s="222">
        <f t="shared" si="3"/>
        <v>6624.4897506579082</v>
      </c>
      <c r="K13" s="222">
        <f t="shared" si="3"/>
        <v>7445.919723544549</v>
      </c>
      <c r="L13" s="223">
        <f t="shared" si="3"/>
        <v>8305.3479680524069</v>
      </c>
      <c r="N13" s="215" t="s">
        <v>226</v>
      </c>
      <c r="O13" s="228">
        <f>C8/'Income Statemnt'!C24</f>
        <v>10.928571428571431</v>
      </c>
      <c r="P13" s="228">
        <f>D8/'Income Statemnt'!D24</f>
        <v>3.1478873239436624</v>
      </c>
      <c r="Q13" s="228">
        <f>E8/'Income Statemnt'!E24</f>
        <v>1.6020066889632107</v>
      </c>
      <c r="R13" s="228">
        <f>F8/'Income Statemnt'!F24</f>
        <v>1.9090909090909092</v>
      </c>
      <c r="S13" s="228">
        <f>G8/'Income Statemnt'!G24</f>
        <v>1.0218978102189782</v>
      </c>
      <c r="T13" s="228">
        <f>AVERAGE(O13:S13)</f>
        <v>3.7218908321576381</v>
      </c>
      <c r="U13" s="218"/>
    </row>
    <row r="14" spans="1:28" ht="15" customHeight="1">
      <c r="A14" s="89" t="s">
        <v>222</v>
      </c>
      <c r="B14" s="84" t="s">
        <v>223</v>
      </c>
      <c r="C14" s="16">
        <v>-1684.3</v>
      </c>
      <c r="D14" s="16">
        <v>-1386.4</v>
      </c>
      <c r="E14" s="16">
        <v>-1563.8</v>
      </c>
      <c r="F14" s="16">
        <v>-1641.1</v>
      </c>
      <c r="G14" s="16">
        <v>-3548</v>
      </c>
      <c r="H14" s="90">
        <f>'Income Statemnt'!H35*'Cash flow'!$T15</f>
        <v>-2257.5134613499704</v>
      </c>
      <c r="I14" s="90">
        <f>'Income Statemnt'!I35*'Cash flow'!$T15</f>
        <v>-2386.9676144581576</v>
      </c>
      <c r="J14" s="90">
        <f>'Income Statemnt'!J35*'Cash flow'!$T15</f>
        <v>-2527.6420540688114</v>
      </c>
      <c r="K14" s="90">
        <f>'Income Statemnt'!K35*'Cash flow'!$T15</f>
        <v>-2677.0190780662356</v>
      </c>
      <c r="L14" s="91">
        <f>'Income Statemnt'!L35*'Cash flow'!$T15</f>
        <v>-2836.6226865352319</v>
      </c>
      <c r="N14" s="230" t="s">
        <v>227</v>
      </c>
      <c r="O14" s="210">
        <f>-C18/'Income Statemnt'!C6</f>
        <v>3.2748700486853029E-2</v>
      </c>
      <c r="P14" s="210">
        <f>-D18/'Income Statemnt'!D6</f>
        <v>2.9504333081586533E-2</v>
      </c>
      <c r="Q14" s="210">
        <f>-E18/'Income Statemnt'!E6</f>
        <v>3.2432432432432427E-2</v>
      </c>
      <c r="R14" s="210">
        <f>-F18/'Income Statemnt'!F6</f>
        <v>2.8972353257299813E-2</v>
      </c>
      <c r="S14" s="210">
        <f>-G18/'Income Statemnt'!G6</f>
        <v>3.4571993486857411E-2</v>
      </c>
      <c r="T14" s="210">
        <f>AVERAGE(O14:S14)</f>
        <v>3.1645962549005847E-2</v>
      </c>
      <c r="U14" s="218"/>
    </row>
    <row r="15" spans="1:28" ht="15" customHeight="1">
      <c r="A15" s="87" t="s">
        <v>225</v>
      </c>
      <c r="B15" s="88"/>
      <c r="C15" s="23">
        <v>1613</v>
      </c>
      <c r="D15" s="23">
        <v>646.79999999999995</v>
      </c>
      <c r="E15" s="23">
        <v>370.2</v>
      </c>
      <c r="F15" s="23">
        <v>2948.3</v>
      </c>
      <c r="G15" s="23">
        <v>2280</v>
      </c>
      <c r="H15" s="224">
        <f>H13+H14</f>
        <v>2796.2940040594094</v>
      </c>
      <c r="I15" s="224">
        <f t="shared" ref="I15:L15" si="4">I13+I14</f>
        <v>3443.8048238730921</v>
      </c>
      <c r="J15" s="224">
        <f t="shared" si="4"/>
        <v>4096.8476965890968</v>
      </c>
      <c r="K15" s="224">
        <f t="shared" si="4"/>
        <v>4768.9006454783139</v>
      </c>
      <c r="L15" s="225">
        <f t="shared" si="4"/>
        <v>5468.7252815171751</v>
      </c>
      <c r="N15" s="214" t="s">
        <v>229</v>
      </c>
      <c r="O15" s="210">
        <f>C14/'Income Statemnt'!C35</f>
        <v>-0.93468368479467256</v>
      </c>
      <c r="P15" s="210">
        <f>D14/'Income Statemnt'!D35</f>
        <v>-0.47887810438326833</v>
      </c>
      <c r="Q15" s="210">
        <f>E14/'Income Statemnt'!E35</f>
        <v>-0.57200336515600425</v>
      </c>
      <c r="R15" s="210">
        <f>F14/'Income Statemnt'!F35</f>
        <v>-0.54485391766268254</v>
      </c>
      <c r="S15" s="210">
        <f>G14/'Income Statemnt'!G35</f>
        <v>-0.9213191378862633</v>
      </c>
      <c r="T15" s="210">
        <f>AVERAGE(O15:S15)</f>
        <v>-0.69034764197657816</v>
      </c>
      <c r="U15" s="218"/>
    </row>
    <row r="16" spans="1:28" ht="15" customHeight="1">
      <c r="A16" s="92"/>
      <c r="B16" s="80"/>
      <c r="C16" s="60">
        <f>C13-C14</f>
        <v>4981.3</v>
      </c>
      <c r="D16" s="85"/>
      <c r="E16" s="85"/>
      <c r="F16" s="85"/>
      <c r="G16" s="85"/>
      <c r="H16" s="90"/>
      <c r="I16" s="90"/>
      <c r="J16" s="90"/>
      <c r="K16" s="90"/>
      <c r="L16" s="91"/>
      <c r="N16" s="216" t="s">
        <v>232</v>
      </c>
      <c r="O16" s="229"/>
      <c r="P16" s="211"/>
      <c r="Q16" s="211"/>
      <c r="R16" s="211"/>
      <c r="S16" s="211"/>
      <c r="T16" s="211">
        <f>(C35+D35+E35+F35+G35)/5</f>
        <v>-236.16</v>
      </c>
      <c r="U16" s="219"/>
    </row>
    <row r="17" spans="1:21">
      <c r="A17" s="82" t="s">
        <v>228</v>
      </c>
      <c r="B17" s="7"/>
      <c r="C17" s="7"/>
      <c r="D17" s="7"/>
      <c r="E17" s="7"/>
      <c r="F17" s="7"/>
      <c r="G17" s="7"/>
      <c r="H17" s="151"/>
      <c r="I17" s="151"/>
      <c r="J17" s="151"/>
      <c r="K17" s="151"/>
      <c r="L17" s="152"/>
    </row>
    <row r="18" spans="1:21">
      <c r="A18" s="89" t="s">
        <v>230</v>
      </c>
      <c r="B18" s="84" t="s">
        <v>231</v>
      </c>
      <c r="C18" s="16">
        <v>-1013.7</v>
      </c>
      <c r="D18" s="16">
        <v>-1004</v>
      </c>
      <c r="E18" s="16">
        <v>-1212.5999999999999</v>
      </c>
      <c r="F18" s="16">
        <v>-970.4</v>
      </c>
      <c r="G18" s="16">
        <v>-1189</v>
      </c>
      <c r="H18" s="93">
        <f>-'Income Statemnt'!H6*'Cash flow'!$T$14</f>
        <v>-1121.2140319378113</v>
      </c>
      <c r="I18" s="93">
        <f>-'Income Statemnt'!I6*'Cash flow'!$T$14</f>
        <v>-1155.0513889731913</v>
      </c>
      <c r="J18" s="93">
        <f>-'Income Statemnt'!J6*'Cash flow'!$T$14</f>
        <v>-1189.9099308122977</v>
      </c>
      <c r="K18" s="93">
        <f>-'Income Statemnt'!K6*'Cash flow'!$T$14</f>
        <v>-1225.8204760087865</v>
      </c>
      <c r="L18" s="190">
        <f>-'Income Statemnt'!L6*'Cash flow'!$T$14</f>
        <v>-1262.8147731960066</v>
      </c>
    </row>
    <row r="19" spans="1:21" ht="24">
      <c r="A19" s="147" t="s">
        <v>233</v>
      </c>
      <c r="B19" s="84" t="s">
        <v>231</v>
      </c>
      <c r="C19" s="16">
        <v>86</v>
      </c>
      <c r="D19" s="16">
        <v>3.1</v>
      </c>
      <c r="E19" s="16">
        <v>26.8</v>
      </c>
      <c r="F19" s="16">
        <v>40.299999999999997</v>
      </c>
      <c r="G19" s="16">
        <v>37</v>
      </c>
      <c r="H19" s="90"/>
      <c r="I19" s="90"/>
      <c r="J19" s="90"/>
      <c r="K19" s="90"/>
      <c r="L19" s="91"/>
      <c r="U19" s="65"/>
    </row>
    <row r="20" spans="1:21">
      <c r="A20" s="89" t="s">
        <v>234</v>
      </c>
      <c r="B20" s="80"/>
      <c r="C20" s="16">
        <v>-196.1</v>
      </c>
      <c r="D20" s="16">
        <v>-46.2</v>
      </c>
      <c r="E20" s="16">
        <v>39.200000000000003</v>
      </c>
      <c r="F20" s="85">
        <v>2.2000000000000002</v>
      </c>
      <c r="G20" s="16">
        <v>-2</v>
      </c>
      <c r="H20" s="90"/>
      <c r="I20" s="90"/>
      <c r="J20" s="90"/>
      <c r="K20" s="90"/>
      <c r="L20" s="91"/>
      <c r="U20" s="65"/>
    </row>
    <row r="21" spans="1:21" ht="36.75" customHeight="1">
      <c r="A21" s="147" t="s">
        <v>235</v>
      </c>
      <c r="B21" s="80"/>
      <c r="C21" s="16"/>
      <c r="D21" s="16"/>
      <c r="E21" s="16"/>
      <c r="F21" s="85"/>
      <c r="G21" s="16">
        <v>575</v>
      </c>
      <c r="H21" s="90"/>
      <c r="I21" s="90"/>
      <c r="J21" s="90"/>
      <c r="K21" s="90"/>
      <c r="L21" s="91"/>
      <c r="U21" s="65"/>
    </row>
    <row r="22" spans="1:21">
      <c r="A22" s="89" t="s">
        <v>236</v>
      </c>
      <c r="B22" s="80"/>
      <c r="C22" s="16"/>
      <c r="D22" s="16"/>
      <c r="E22" s="16"/>
      <c r="F22" s="85"/>
      <c r="G22" s="16">
        <v>4383</v>
      </c>
      <c r="H22" s="90"/>
      <c r="I22" s="90"/>
      <c r="J22" s="90"/>
      <c r="K22" s="90"/>
      <c r="L22" s="91"/>
      <c r="U22" s="65"/>
    </row>
    <row r="23" spans="1:21">
      <c r="A23" s="89" t="s">
        <v>237</v>
      </c>
      <c r="B23" s="80"/>
      <c r="C23" s="16"/>
      <c r="D23" s="16"/>
      <c r="E23" s="16"/>
      <c r="F23" s="85"/>
      <c r="G23" s="16">
        <v>-4383</v>
      </c>
      <c r="H23" s="90"/>
      <c r="I23" s="90"/>
      <c r="J23" s="90"/>
      <c r="K23" s="90"/>
      <c r="L23" s="91"/>
    </row>
    <row r="24" spans="1:21">
      <c r="A24" s="89" t="s">
        <v>238</v>
      </c>
      <c r="B24" s="80"/>
      <c r="C24" s="16"/>
      <c r="D24" s="16"/>
      <c r="E24" s="16"/>
      <c r="F24" s="85"/>
      <c r="G24" s="16">
        <v>2584</v>
      </c>
      <c r="H24" s="90"/>
      <c r="I24" s="90"/>
      <c r="J24" s="90"/>
      <c r="K24" s="90"/>
      <c r="L24" s="91"/>
    </row>
    <row r="25" spans="1:21">
      <c r="A25" s="89" t="s">
        <v>239</v>
      </c>
      <c r="B25" s="80"/>
      <c r="C25" s="16">
        <v>140.19999999999999</v>
      </c>
      <c r="D25" s="16">
        <v>2.4</v>
      </c>
      <c r="E25" s="16">
        <v>2.6</v>
      </c>
      <c r="F25" s="16">
        <v>2.6</v>
      </c>
      <c r="G25" s="16">
        <v>27</v>
      </c>
      <c r="H25" s="90"/>
      <c r="I25" s="90"/>
      <c r="J25" s="90"/>
      <c r="K25" s="90"/>
      <c r="L25" s="91"/>
    </row>
    <row r="26" spans="1:21" ht="24">
      <c r="A26" s="147" t="s">
        <v>240</v>
      </c>
      <c r="B26" s="80"/>
      <c r="C26" s="16"/>
      <c r="D26" s="16"/>
      <c r="E26" s="16">
        <v>0</v>
      </c>
      <c r="F26" s="16">
        <v>262.5</v>
      </c>
      <c r="G26" s="16">
        <v>4383</v>
      </c>
      <c r="H26" s="90"/>
      <c r="I26" s="90"/>
      <c r="J26" s="90"/>
      <c r="K26" s="90"/>
      <c r="L26" s="91"/>
    </row>
    <row r="27" spans="1:21">
      <c r="A27" s="89" t="s">
        <v>241</v>
      </c>
      <c r="B27" s="80"/>
      <c r="C27" s="16"/>
      <c r="D27" s="16">
        <v>-5.4</v>
      </c>
      <c r="E27" s="16">
        <v>0</v>
      </c>
      <c r="F27" s="16">
        <v>-1.9</v>
      </c>
      <c r="G27" s="16">
        <v>0</v>
      </c>
      <c r="H27" s="90"/>
      <c r="I27" s="90"/>
      <c r="J27" s="90"/>
      <c r="K27" s="90"/>
      <c r="L27" s="91"/>
    </row>
    <row r="28" spans="1:21">
      <c r="A28" s="89" t="s">
        <v>242</v>
      </c>
      <c r="B28" s="80"/>
      <c r="C28" s="16">
        <v>153</v>
      </c>
      <c r="D28" s="16"/>
      <c r="E28" s="16"/>
      <c r="F28" s="16"/>
      <c r="G28" s="16"/>
      <c r="H28" s="90"/>
      <c r="I28" s="90"/>
      <c r="J28" s="90"/>
      <c r="K28" s="90"/>
      <c r="L28" s="91"/>
    </row>
    <row r="29" spans="1:21">
      <c r="A29" s="89" t="s">
        <v>243</v>
      </c>
      <c r="B29" s="80"/>
      <c r="C29" s="16">
        <v>26</v>
      </c>
      <c r="D29" s="16"/>
      <c r="E29" s="16"/>
      <c r="F29" s="16"/>
      <c r="G29" s="16"/>
      <c r="H29" s="90"/>
      <c r="I29" s="90"/>
      <c r="J29" s="90"/>
      <c r="K29" s="90"/>
      <c r="L29" s="91"/>
    </row>
    <row r="30" spans="1:21" ht="24">
      <c r="A30" s="147" t="s">
        <v>244</v>
      </c>
      <c r="B30" s="80"/>
      <c r="C30" s="16"/>
      <c r="D30" s="16">
        <v>28.3</v>
      </c>
      <c r="E30" s="16"/>
      <c r="F30" s="16"/>
      <c r="G30" s="16"/>
      <c r="H30" s="90"/>
      <c r="I30" s="90"/>
      <c r="J30" s="90"/>
      <c r="K30" s="90"/>
      <c r="L30" s="91"/>
    </row>
    <row r="31" spans="1:21">
      <c r="A31" s="89" t="s">
        <v>245</v>
      </c>
      <c r="B31" s="80"/>
      <c r="C31" s="16"/>
      <c r="D31" s="16"/>
      <c r="E31" s="16"/>
      <c r="F31" s="16"/>
      <c r="G31" s="16">
        <v>-54</v>
      </c>
      <c r="H31" s="90"/>
      <c r="I31" s="90"/>
      <c r="J31" s="90"/>
      <c r="K31" s="90"/>
      <c r="L31" s="91"/>
    </row>
    <row r="32" spans="1:21">
      <c r="A32" s="87" t="s">
        <v>246</v>
      </c>
      <c r="B32" s="88"/>
      <c r="C32" s="23">
        <v>855.8</v>
      </c>
      <c r="D32" s="23">
        <v>-1040.8</v>
      </c>
      <c r="E32" s="23">
        <v>-1144</v>
      </c>
      <c r="F32" s="23">
        <v>-664.7</v>
      </c>
      <c r="G32" s="23">
        <v>2017</v>
      </c>
      <c r="H32" s="222">
        <f>H18</f>
        <v>-1121.2140319378113</v>
      </c>
      <c r="I32" s="222">
        <f t="shared" ref="I32:L32" si="5">I18</f>
        <v>-1155.0513889731913</v>
      </c>
      <c r="J32" s="222">
        <f t="shared" si="5"/>
        <v>-1189.9099308122977</v>
      </c>
      <c r="K32" s="222">
        <f t="shared" si="5"/>
        <v>-1225.8204760087865</v>
      </c>
      <c r="L32" s="223">
        <f t="shared" si="5"/>
        <v>-1262.8147731960066</v>
      </c>
    </row>
    <row r="33" spans="1:19">
      <c r="A33" s="92"/>
      <c r="B33" s="80"/>
      <c r="C33" s="85"/>
      <c r="D33" s="85"/>
      <c r="E33" s="85"/>
      <c r="F33" s="60"/>
      <c r="G33" s="85"/>
      <c r="H33" s="90"/>
      <c r="I33" s="90"/>
      <c r="J33" s="90"/>
      <c r="K33" s="90"/>
      <c r="L33" s="91"/>
    </row>
    <row r="34" spans="1:19" ht="15" customHeight="1">
      <c r="A34" s="82" t="s">
        <v>247</v>
      </c>
      <c r="B34" s="7"/>
      <c r="C34" s="7"/>
      <c r="D34" s="7"/>
      <c r="E34" s="7"/>
      <c r="F34" s="7"/>
      <c r="G34" s="7"/>
      <c r="H34" s="151"/>
      <c r="I34" s="151"/>
      <c r="J34" s="151"/>
      <c r="K34" s="151"/>
      <c r="L34" s="152"/>
    </row>
    <row r="35" spans="1:19" ht="15" customHeight="1">
      <c r="A35" s="83" t="s">
        <v>248</v>
      </c>
      <c r="B35" s="84" t="s">
        <v>249</v>
      </c>
      <c r="C35" s="16">
        <v>-216.7</v>
      </c>
      <c r="D35" s="16">
        <v>-178.6</v>
      </c>
      <c r="E35" s="16">
        <v>-203.4</v>
      </c>
      <c r="F35" s="16">
        <v>-222.1</v>
      </c>
      <c r="G35" s="16">
        <v>-360</v>
      </c>
      <c r="H35" s="90">
        <f>$T16</f>
        <v>-236.16</v>
      </c>
      <c r="I35" s="90">
        <f>$T16</f>
        <v>-236.16</v>
      </c>
      <c r="J35" s="90">
        <f>$T16</f>
        <v>-236.16</v>
      </c>
      <c r="K35" s="90">
        <f>$T16</f>
        <v>-236.16</v>
      </c>
      <c r="L35" s="91">
        <f>$T16</f>
        <v>-236.16</v>
      </c>
    </row>
    <row r="36" spans="1:19" ht="28.5" customHeight="1">
      <c r="A36" s="147" t="s">
        <v>250</v>
      </c>
      <c r="B36" s="84"/>
      <c r="C36" s="16">
        <v>3.5</v>
      </c>
      <c r="D36" s="16">
        <v>5</v>
      </c>
      <c r="E36" s="16">
        <v>4.0999999999999996</v>
      </c>
      <c r="F36" s="16">
        <v>7.1</v>
      </c>
      <c r="G36" s="16">
        <v>6</v>
      </c>
      <c r="H36" s="90"/>
      <c r="I36" s="90"/>
      <c r="J36" s="90"/>
      <c r="K36" s="90"/>
      <c r="L36" s="91"/>
    </row>
    <row r="37" spans="1:19" ht="28.5" customHeight="1">
      <c r="A37" s="147" t="s">
        <v>251</v>
      </c>
      <c r="B37" s="84"/>
      <c r="C37" s="16">
        <v>-17.899999999999999</v>
      </c>
      <c r="D37" s="16">
        <v>-1</v>
      </c>
      <c r="E37" s="16">
        <v>-38</v>
      </c>
      <c r="F37" s="16">
        <v>-102.8</v>
      </c>
      <c r="G37" s="16"/>
      <c r="H37" s="90"/>
      <c r="I37" s="90"/>
      <c r="J37" s="90"/>
      <c r="K37" s="90"/>
      <c r="L37" s="91"/>
    </row>
    <row r="38" spans="1:19">
      <c r="A38" s="89" t="s">
        <v>252</v>
      </c>
      <c r="B38" s="84" t="s">
        <v>253</v>
      </c>
      <c r="C38" s="16"/>
      <c r="D38" s="16">
        <v>-1453.1</v>
      </c>
      <c r="E38" s="16">
        <v>0</v>
      </c>
      <c r="F38" s="16">
        <v>-215.5</v>
      </c>
      <c r="G38" s="16">
        <v>-1523</v>
      </c>
      <c r="H38" s="90"/>
      <c r="I38" s="90"/>
      <c r="J38" s="90"/>
      <c r="K38" s="90"/>
      <c r="L38" s="91"/>
    </row>
    <row r="39" spans="1:19">
      <c r="A39" s="83" t="s">
        <v>254</v>
      </c>
      <c r="B39" s="84" t="s">
        <v>255</v>
      </c>
      <c r="C39" s="16"/>
      <c r="D39" s="16">
        <v>0</v>
      </c>
      <c r="E39" s="16">
        <v>1002.1</v>
      </c>
      <c r="F39" s="16">
        <v>-1002.1</v>
      </c>
      <c r="G39" s="16">
        <v>0</v>
      </c>
      <c r="H39" s="90"/>
      <c r="I39" s="90"/>
      <c r="J39" s="90"/>
      <c r="K39" s="90"/>
      <c r="L39" s="91"/>
    </row>
    <row r="40" spans="1:19">
      <c r="A40" s="89" t="s">
        <v>256</v>
      </c>
      <c r="B40" s="84" t="s">
        <v>257</v>
      </c>
      <c r="C40" s="16"/>
      <c r="D40" s="16">
        <v>972.8</v>
      </c>
      <c r="E40" s="16">
        <v>1103.9000000000001</v>
      </c>
      <c r="F40" s="16">
        <v>813.1</v>
      </c>
      <c r="G40" s="16">
        <v>539</v>
      </c>
      <c r="H40" s="90"/>
      <c r="I40" s="90"/>
      <c r="J40" s="90"/>
      <c r="K40" s="90"/>
      <c r="L40" s="91"/>
    </row>
    <row r="41" spans="1:19">
      <c r="A41" s="89" t="s">
        <v>258</v>
      </c>
      <c r="B41" s="84" t="s">
        <v>257</v>
      </c>
      <c r="C41" s="16">
        <v>-14.2</v>
      </c>
      <c r="D41" s="16">
        <v>0</v>
      </c>
      <c r="E41" s="16">
        <v>-1380</v>
      </c>
      <c r="F41" s="16">
        <v>-965.5</v>
      </c>
      <c r="G41" s="16">
        <v>-1084</v>
      </c>
      <c r="H41" s="90"/>
      <c r="I41" s="90"/>
      <c r="J41" s="90"/>
      <c r="K41" s="90"/>
      <c r="L41" s="91"/>
    </row>
    <row r="42" spans="1:19">
      <c r="A42" s="148" t="s">
        <v>259</v>
      </c>
      <c r="B42" s="58"/>
      <c r="C42" s="59">
        <f>C40+C41</f>
        <v>-14.2</v>
      </c>
      <c r="D42" s="59">
        <f t="shared" ref="D42:G42" si="6">D40+D41</f>
        <v>972.8</v>
      </c>
      <c r="E42" s="59">
        <f t="shared" si="6"/>
        <v>-276.09999999999991</v>
      </c>
      <c r="F42" s="59">
        <f t="shared" si="6"/>
        <v>-152.39999999999998</v>
      </c>
      <c r="G42" s="59">
        <f t="shared" si="6"/>
        <v>-545</v>
      </c>
      <c r="H42" s="90"/>
      <c r="I42" s="90"/>
      <c r="J42" s="90"/>
      <c r="K42" s="90"/>
      <c r="L42" s="91"/>
    </row>
    <row r="43" spans="1:19">
      <c r="A43" s="87" t="s">
        <v>260</v>
      </c>
      <c r="B43" s="88"/>
      <c r="C43" s="23">
        <v>246.3</v>
      </c>
      <c r="D43" s="23">
        <v>-654.9</v>
      </c>
      <c r="E43" s="23">
        <v>488.7</v>
      </c>
      <c r="F43" s="23">
        <v>-1687.3</v>
      </c>
      <c r="G43" s="23">
        <v>-2422</v>
      </c>
      <c r="H43" s="222">
        <f>H35+H36+H37+H38+H39+H40+H41</f>
        <v>-236.16</v>
      </c>
      <c r="I43" s="222">
        <f>I35+I36+I37+I38+I39+I40+I41</f>
        <v>-236.16</v>
      </c>
      <c r="J43" s="222">
        <f t="shared" ref="J43:K43" si="7">J35+J36+J37+J38+J39+J40+J41</f>
        <v>-236.16</v>
      </c>
      <c r="K43" s="222">
        <f t="shared" si="7"/>
        <v>-236.16</v>
      </c>
      <c r="L43" s="223">
        <f>L35+L36+L37+L38+L39+L40+L41</f>
        <v>-236.16</v>
      </c>
      <c r="P43" s="14"/>
      <c r="Q43" s="14"/>
      <c r="R43" s="14"/>
      <c r="S43" s="14"/>
    </row>
    <row r="44" spans="1:19">
      <c r="A44" s="92"/>
      <c r="B44" s="80"/>
      <c r="C44" s="60"/>
      <c r="D44" s="85"/>
      <c r="E44" s="85"/>
      <c r="F44" s="85"/>
      <c r="G44" s="85"/>
      <c r="H44" s="90"/>
      <c r="I44" s="90"/>
      <c r="J44" s="90"/>
      <c r="K44" s="90"/>
      <c r="L44" s="91"/>
      <c r="P44" s="14"/>
      <c r="Q44" s="14"/>
      <c r="R44" s="14"/>
      <c r="S44" s="14"/>
    </row>
    <row r="45" spans="1:19" ht="15" customHeight="1">
      <c r="A45" s="92"/>
      <c r="B45" s="80"/>
      <c r="C45" s="60"/>
      <c r="D45" s="85"/>
      <c r="E45" s="85"/>
      <c r="F45" s="85"/>
      <c r="G45" s="85"/>
      <c r="H45" s="90"/>
      <c r="I45" s="90"/>
      <c r="J45" s="90"/>
      <c r="K45" s="90"/>
      <c r="L45" s="91"/>
      <c r="P45" s="14"/>
      <c r="Q45" s="14"/>
      <c r="R45" s="14"/>
      <c r="S45" s="14"/>
    </row>
    <row r="46" spans="1:19" ht="15" customHeight="1">
      <c r="A46" s="92"/>
      <c r="B46" s="80"/>
      <c r="C46" s="85"/>
      <c r="D46" s="85"/>
      <c r="E46" s="85"/>
      <c r="F46" s="85"/>
      <c r="G46" s="85"/>
      <c r="H46" s="90"/>
      <c r="I46" s="90"/>
      <c r="J46" s="90"/>
      <c r="K46" s="90"/>
      <c r="L46" s="91"/>
    </row>
    <row r="47" spans="1:19">
      <c r="A47" s="82" t="s">
        <v>261</v>
      </c>
      <c r="B47" s="7"/>
      <c r="C47" s="7"/>
      <c r="D47" s="7"/>
      <c r="E47" s="7"/>
      <c r="F47" s="7"/>
      <c r="G47" s="7"/>
      <c r="H47" s="151"/>
      <c r="I47" s="151"/>
      <c r="J47" s="151"/>
      <c r="K47" s="151"/>
      <c r="L47" s="152"/>
    </row>
    <row r="48" spans="1:19">
      <c r="A48" s="89" t="s">
        <v>219</v>
      </c>
      <c r="B48" s="80"/>
      <c r="C48" s="16">
        <v>511.6</v>
      </c>
      <c r="D48" s="16">
        <v>-1048.9000000000001</v>
      </c>
      <c r="E48" s="16">
        <v>-285.10000000000002</v>
      </c>
      <c r="F48" s="16">
        <v>596.29999999999995</v>
      </c>
      <c r="G48" s="16">
        <v>1875</v>
      </c>
      <c r="H48" s="90">
        <f>'Cash flow'!H15+'Cash flow'!H32+'Cash flow'!H43</f>
        <v>1438.919972121598</v>
      </c>
      <c r="I48" s="90">
        <f>'Cash flow'!I15+'Cash flow'!I32+'Cash flow'!I43</f>
        <v>2052.5934348999008</v>
      </c>
      <c r="J48" s="90">
        <f>'Cash flow'!J15+'Cash flow'!J32+'Cash flow'!J43</f>
        <v>2670.7777657767992</v>
      </c>
      <c r="K48" s="90">
        <f>'Cash flow'!K15+'Cash flow'!K32+'Cash flow'!K43</f>
        <v>3306.9201694695275</v>
      </c>
      <c r="L48" s="91">
        <f>'Cash flow'!L15+'Cash flow'!L32+'Cash flow'!L43</f>
        <v>3969.750508321169</v>
      </c>
    </row>
    <row r="49" spans="1:12">
      <c r="A49" s="89" t="s">
        <v>221</v>
      </c>
      <c r="B49" s="80"/>
      <c r="C49" s="16">
        <v>-129.30000000000001</v>
      </c>
      <c r="D49" s="16">
        <v>90.7</v>
      </c>
      <c r="E49" s="16">
        <v>-40.299999999999997</v>
      </c>
      <c r="F49" s="16">
        <v>-69.7</v>
      </c>
      <c r="G49" s="16">
        <v>-28</v>
      </c>
      <c r="H49" s="90"/>
      <c r="I49" s="90"/>
      <c r="J49" s="90"/>
      <c r="K49" s="90"/>
      <c r="L49" s="91"/>
    </row>
    <row r="50" spans="1:12" ht="29.25" customHeight="1">
      <c r="A50" s="147" t="s">
        <v>262</v>
      </c>
      <c r="B50" s="80"/>
      <c r="C50" s="16"/>
      <c r="D50" s="16">
        <v>-87.7</v>
      </c>
      <c r="E50" s="16">
        <v>-14.6</v>
      </c>
      <c r="F50" s="16"/>
      <c r="G50" s="16"/>
      <c r="H50" s="90"/>
      <c r="I50" s="90"/>
      <c r="J50" s="90"/>
      <c r="K50" s="90"/>
      <c r="L50" s="91"/>
    </row>
    <row r="51" spans="1:12">
      <c r="A51" s="89" t="s">
        <v>263</v>
      </c>
      <c r="B51" s="84" t="s">
        <v>264</v>
      </c>
      <c r="C51" s="16">
        <v>1779.5</v>
      </c>
      <c r="D51" s="16">
        <v>2161.8000000000002</v>
      </c>
      <c r="E51" s="16">
        <v>1115.9000000000001</v>
      </c>
      <c r="F51" s="16">
        <v>775.9</v>
      </c>
      <c r="G51" s="16">
        <v>1380</v>
      </c>
      <c r="H51" s="90">
        <f>G52</f>
        <v>3227</v>
      </c>
      <c r="I51" s="90">
        <f t="shared" ref="I51:L51" si="8">H52</f>
        <v>4665.9199721215982</v>
      </c>
      <c r="J51" s="90">
        <f t="shared" si="8"/>
        <v>6718.513407021499</v>
      </c>
      <c r="K51" s="90">
        <f t="shared" si="8"/>
        <v>9389.2911727982973</v>
      </c>
      <c r="L51" s="91">
        <f t="shared" si="8"/>
        <v>12696.211342267825</v>
      </c>
    </row>
    <row r="52" spans="1:12" ht="15" customHeight="1">
      <c r="A52" s="149" t="s">
        <v>265</v>
      </c>
      <c r="B52" s="96"/>
      <c r="C52" s="150">
        <v>2161.8000000000002</v>
      </c>
      <c r="D52" s="150">
        <v>1116</v>
      </c>
      <c r="E52" s="150">
        <v>775.9</v>
      </c>
      <c r="F52" s="150">
        <v>1302.5</v>
      </c>
      <c r="G52" s="150">
        <v>3227</v>
      </c>
      <c r="H52" s="220">
        <f>H51+H48</f>
        <v>4665.9199721215982</v>
      </c>
      <c r="I52" s="220">
        <f>I51+I48</f>
        <v>6718.513407021499</v>
      </c>
      <c r="J52" s="220">
        <f>J51+J48</f>
        <v>9389.2911727982973</v>
      </c>
      <c r="K52" s="220">
        <f>K51+K48</f>
        <v>12696.211342267825</v>
      </c>
      <c r="L52" s="221">
        <f>L51+L48</f>
        <v>16665.961850588996</v>
      </c>
    </row>
    <row r="53" spans="1:12" ht="15" customHeight="1"/>
    <row r="54" spans="1:12" ht="28.35" customHeight="1">
      <c r="A54" s="315" t="s">
        <v>196</v>
      </c>
      <c r="B54" s="315"/>
      <c r="C54" s="315"/>
      <c r="D54" s="315"/>
      <c r="E54" s="315"/>
      <c r="F54" s="315"/>
      <c r="G54" s="315"/>
      <c r="H54" s="315"/>
      <c r="I54" s="315"/>
      <c r="J54" s="315"/>
      <c r="K54" s="315"/>
      <c r="L54" s="315"/>
    </row>
  </sheetData>
  <mergeCells count="4">
    <mergeCell ref="A2:G2"/>
    <mergeCell ref="H2:L2"/>
    <mergeCell ref="A54:L54"/>
    <mergeCell ref="A1:L1"/>
  </mergeCells>
  <pageMargins left="0.7" right="0.7" top="0.75" bottom="0.75"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82"/>
  <sheetViews>
    <sheetView topLeftCell="A3" zoomScaleNormal="100" workbookViewId="0">
      <selection activeCell="A50" sqref="A50"/>
    </sheetView>
  </sheetViews>
  <sheetFormatPr defaultColWidth="8.5703125" defaultRowHeight="15"/>
  <cols>
    <col min="1" max="1" width="24.85546875" style="1" customWidth="1"/>
    <col min="8" max="8" width="13.140625" customWidth="1"/>
    <col min="9" max="12" width="11.140625" bestFit="1" customWidth="1"/>
    <col min="15" max="15" width="30.5703125" customWidth="1"/>
    <col min="17" max="17" width="10.5703125" bestFit="1" customWidth="1"/>
    <col min="20" max="20" width="9.5703125" bestFit="1" customWidth="1"/>
    <col min="21" max="21" width="13" bestFit="1" customWidth="1"/>
    <col min="23" max="23" width="14.140625" customWidth="1"/>
  </cols>
  <sheetData>
    <row r="1" spans="1:22" ht="16.5" customHeight="1">
      <c r="A1" s="314" t="s">
        <v>266</v>
      </c>
      <c r="B1" s="314"/>
      <c r="C1" s="314"/>
      <c r="D1" s="314"/>
      <c r="E1" s="314"/>
      <c r="F1" s="314"/>
      <c r="G1" s="314"/>
      <c r="H1" s="314"/>
      <c r="I1" s="314"/>
      <c r="J1" s="314"/>
      <c r="K1" s="314"/>
      <c r="L1" s="314"/>
    </row>
    <row r="2" spans="1:22">
      <c r="A2" s="308" t="s">
        <v>150</v>
      </c>
      <c r="B2" s="308"/>
      <c r="C2" s="308"/>
      <c r="D2" s="308"/>
      <c r="E2" s="308"/>
      <c r="F2" s="308"/>
      <c r="G2" s="308"/>
    </row>
    <row r="3" spans="1:22">
      <c r="A3" s="316" t="s">
        <v>91</v>
      </c>
      <c r="B3" s="317"/>
      <c r="C3" s="317"/>
      <c r="D3" s="317"/>
      <c r="E3" s="317"/>
      <c r="F3" s="317"/>
      <c r="G3" s="317"/>
      <c r="H3" s="318" t="s">
        <v>55</v>
      </c>
      <c r="I3" s="318"/>
      <c r="J3" s="318"/>
      <c r="K3" s="318"/>
      <c r="L3" s="319"/>
      <c r="O3" s="213"/>
      <c r="P3" s="212"/>
      <c r="Q3" s="212"/>
      <c r="R3" s="212"/>
      <c r="S3" s="212"/>
      <c r="T3" s="212"/>
      <c r="U3" s="212"/>
      <c r="V3" s="217"/>
    </row>
    <row r="4" spans="1:22">
      <c r="A4" s="77" t="s">
        <v>57</v>
      </c>
      <c r="B4" s="78" t="s">
        <v>198</v>
      </c>
      <c r="C4" s="79" t="s">
        <v>151</v>
      </c>
      <c r="D4" s="79" t="s">
        <v>152</v>
      </c>
      <c r="E4" s="79" t="s">
        <v>153</v>
      </c>
      <c r="F4" s="79" t="s">
        <v>154</v>
      </c>
      <c r="G4" s="79" t="s">
        <v>155</v>
      </c>
      <c r="H4" s="194">
        <v>2026</v>
      </c>
      <c r="I4" s="194">
        <v>2027</v>
      </c>
      <c r="J4" s="194">
        <v>2028</v>
      </c>
      <c r="K4" s="194">
        <v>2029</v>
      </c>
      <c r="L4" s="243">
        <v>2030</v>
      </c>
      <c r="O4" s="245" t="s">
        <v>267</v>
      </c>
      <c r="P4" s="166">
        <v>2021</v>
      </c>
      <c r="Q4" s="166">
        <v>2022</v>
      </c>
      <c r="R4" s="166">
        <v>2023</v>
      </c>
      <c r="S4" s="166">
        <v>2024</v>
      </c>
      <c r="T4" s="166">
        <v>2025</v>
      </c>
      <c r="U4" s="166" t="s">
        <v>268</v>
      </c>
      <c r="V4" s="218"/>
    </row>
    <row r="5" spans="1:22">
      <c r="A5" s="82" t="s">
        <v>270</v>
      </c>
      <c r="B5" s="7"/>
      <c r="C5" s="7"/>
      <c r="D5" s="7"/>
      <c r="E5" s="7"/>
      <c r="F5" s="7"/>
      <c r="G5" s="7"/>
      <c r="H5" s="166"/>
      <c r="I5" s="166"/>
      <c r="J5" s="166"/>
      <c r="K5" s="166"/>
      <c r="L5" s="173"/>
      <c r="O5" s="214" t="s">
        <v>271</v>
      </c>
      <c r="P5" s="210">
        <f>C6/'Income Statemnt'!C6</f>
        <v>0.17999993538778633</v>
      </c>
      <c r="Q5" s="210">
        <f>D6/'Income Statemnt'!D6</f>
        <v>0.17094881115757488</v>
      </c>
      <c r="R5" s="210">
        <f>E6/'Income Statemnt'!E6</f>
        <v>0.1562245075357396</v>
      </c>
      <c r="S5" s="210">
        <f>F6/'Income Statemnt'!F6</f>
        <v>0.17262793336119903</v>
      </c>
      <c r="T5" s="210">
        <f>G6/'Income Statemnt'!G6</f>
        <v>0.17288904396371249</v>
      </c>
      <c r="U5" s="210">
        <f>AVERAGE(Q5:T5)</f>
        <v>0.16817257400455649</v>
      </c>
      <c r="V5" s="218"/>
    </row>
    <row r="6" spans="1:22">
      <c r="A6" s="89" t="s">
        <v>273</v>
      </c>
      <c r="B6" s="84" t="s">
        <v>274</v>
      </c>
      <c r="C6" s="16">
        <v>5571.7</v>
      </c>
      <c r="D6" s="16">
        <v>5817.2</v>
      </c>
      <c r="E6" s="16">
        <v>5841</v>
      </c>
      <c r="F6" s="16">
        <v>5782</v>
      </c>
      <c r="G6" s="16">
        <v>5946</v>
      </c>
      <c r="H6" s="90">
        <f>G6*(1+$U$5)</f>
        <v>6945.9541250310931</v>
      </c>
      <c r="I6" s="90">
        <f t="shared" ref="I6:L6" si="0">H6*(1+$U$5)</f>
        <v>8114.0731091551397</v>
      </c>
      <c r="J6" s="90">
        <f t="shared" si="0"/>
        <v>9478.6376695829149</v>
      </c>
      <c r="K6" s="90">
        <f t="shared" si="0"/>
        <v>11072.684564533225</v>
      </c>
      <c r="L6" s="91">
        <f t="shared" si="0"/>
        <v>12934.806428891299</v>
      </c>
      <c r="O6" s="214" t="s">
        <v>275</v>
      </c>
      <c r="P6" s="210"/>
      <c r="Q6" s="210">
        <f>(D9/C9)-1</f>
        <v>1.9361778415203368E-3</v>
      </c>
      <c r="R6" s="210">
        <f>(E9/D9)-1</f>
        <v>2.719725164614939E-3</v>
      </c>
      <c r="S6" s="210">
        <f>(F9/E9)-1</f>
        <v>-2.28408279800143E-2</v>
      </c>
      <c r="T6" s="210">
        <f>(G9/F9)-1</f>
        <v>-9.0577063550036474E-2</v>
      </c>
      <c r="U6" s="210">
        <f t="shared" ref="U6" si="1">AVERAGE(Q6:T6)</f>
        <v>-2.7190497130978875E-2</v>
      </c>
      <c r="V6" s="218"/>
    </row>
    <row r="7" spans="1:22">
      <c r="A7" s="89" t="s">
        <v>277</v>
      </c>
      <c r="B7" s="84" t="s">
        <v>278</v>
      </c>
      <c r="C7" s="16"/>
      <c r="D7" s="16"/>
      <c r="E7" s="16">
        <v>349</v>
      </c>
      <c r="F7" s="16">
        <v>414</v>
      </c>
      <c r="G7" s="16">
        <v>315</v>
      </c>
      <c r="H7" s="90"/>
      <c r="I7" s="90"/>
      <c r="J7" s="90"/>
      <c r="K7" s="90"/>
      <c r="L7" s="91"/>
      <c r="O7" s="215" t="s">
        <v>327</v>
      </c>
      <c r="P7" s="210">
        <f>-C17/'Income Statemnt'!C7</f>
        <v>0.25926561505078194</v>
      </c>
      <c r="Q7" s="210">
        <f>-D17/'Income Statemnt'!D7</f>
        <v>0.3004415281005014</v>
      </c>
      <c r="R7" s="210">
        <f>-E17/'Income Statemnt'!E7</f>
        <v>0.27741587240555748</v>
      </c>
      <c r="S7" s="210">
        <f>-F17/'Income Statemnt'!F7</f>
        <v>0.31267481044650375</v>
      </c>
      <c r="T7" s="210">
        <f>-G17/'Income Statemnt'!G7</f>
        <v>0.25580016934801014</v>
      </c>
      <c r="U7" s="210">
        <f>AVERAGE(Q7:T7)</f>
        <v>0.28658309507514318</v>
      </c>
      <c r="V7" s="218"/>
    </row>
    <row r="8" spans="1:22">
      <c r="A8" s="89" t="s">
        <v>280</v>
      </c>
      <c r="B8" s="84" t="s">
        <v>281</v>
      </c>
      <c r="C8" s="16">
        <v>1645.7</v>
      </c>
      <c r="D8" s="16">
        <v>1645.2</v>
      </c>
      <c r="E8" s="16">
        <v>1660</v>
      </c>
      <c r="F8" s="16">
        <v>1652</v>
      </c>
      <c r="G8" s="16">
        <v>1612</v>
      </c>
      <c r="H8" s="90"/>
      <c r="I8" s="90"/>
      <c r="J8" s="90"/>
      <c r="K8" s="90"/>
      <c r="L8" s="91"/>
      <c r="O8" s="215" t="s">
        <v>328</v>
      </c>
      <c r="P8" s="210">
        <f>C18/'Income Statemnt'!C6</f>
        <v>0.10645185259369577</v>
      </c>
      <c r="Q8" s="210">
        <f>D18/'Income Statemnt'!D6</f>
        <v>0.11624237045570088</v>
      </c>
      <c r="R8" s="210">
        <f>E18/'Income Statemnt'!E6</f>
        <v>0.12388836139454645</v>
      </c>
      <c r="S8" s="210">
        <f>F18/'Income Statemnt'!F6</f>
        <v>0.12769451244999105</v>
      </c>
      <c r="T8" s="210">
        <f>G18/'Income Statemnt'!G6</f>
        <v>0.12124912770411723</v>
      </c>
      <c r="U8" s="210">
        <f>AVERAGE(Q8:T8)</f>
        <v>0.1222685930010889</v>
      </c>
      <c r="V8" s="218"/>
    </row>
    <row r="9" spans="1:22">
      <c r="A9" s="89" t="s">
        <v>282</v>
      </c>
      <c r="B9" s="84" t="s">
        <v>281</v>
      </c>
      <c r="C9" s="16">
        <v>1394.5</v>
      </c>
      <c r="D9" s="16">
        <v>1397.2</v>
      </c>
      <c r="E9" s="16">
        <v>1401</v>
      </c>
      <c r="F9" s="16">
        <v>1369</v>
      </c>
      <c r="G9" s="16">
        <v>1245</v>
      </c>
      <c r="H9" s="90">
        <f>G9*(1+$U6)</f>
        <v>1211.1478310719313</v>
      </c>
      <c r="I9" s="90">
        <f>H9*(1+$U6)</f>
        <v>1178.2161194459786</v>
      </c>
      <c r="J9" s="90">
        <f>I9*(1+$U6)</f>
        <v>1146.1798374305097</v>
      </c>
      <c r="K9" s="90">
        <f>J9*(1+$U6)</f>
        <v>1115.0146378492695</v>
      </c>
      <c r="L9" s="91">
        <f>K9*(1+$U6)</f>
        <v>1084.6968355378294</v>
      </c>
      <c r="O9" s="215" t="s">
        <v>329</v>
      </c>
      <c r="P9" s="210">
        <f>-C45/'Income Statemnt'!C7</f>
        <v>0.23173634035865731</v>
      </c>
      <c r="Q9" s="210">
        <f>-D45/'Income Statemnt'!D7</f>
        <v>0.23943305599014891</v>
      </c>
      <c r="R9" s="210">
        <f>-E45/'Income Statemnt'!E7</f>
        <v>0.16167434431866076</v>
      </c>
      <c r="S9" s="210">
        <f>-F45/'Income Statemnt'!F7</f>
        <v>0.2055602358887953</v>
      </c>
      <c r="T9" s="210">
        <f>-G45/'Income Statemnt'!G7</f>
        <v>0.26642675698560542</v>
      </c>
      <c r="U9" s="210">
        <f t="shared" ref="U9" si="2">AVERAGE(Q9:T9)</f>
        <v>0.21827359829580256</v>
      </c>
      <c r="V9" s="218"/>
    </row>
    <row r="10" spans="1:22">
      <c r="A10" s="89" t="s">
        <v>283</v>
      </c>
      <c r="B10" s="84" t="s">
        <v>284</v>
      </c>
      <c r="C10" s="16">
        <v>2400.6999999999998</v>
      </c>
      <c r="D10" s="16">
        <v>2421.1999999999998</v>
      </c>
      <c r="E10" s="16">
        <v>3092</v>
      </c>
      <c r="F10" s="16">
        <v>3347</v>
      </c>
      <c r="G10" s="16">
        <v>313</v>
      </c>
      <c r="H10" s="90"/>
      <c r="I10" s="90"/>
      <c r="J10" s="90"/>
      <c r="K10" s="90"/>
      <c r="L10" s="91"/>
      <c r="O10" s="215" t="s">
        <v>17</v>
      </c>
      <c r="P10" s="210">
        <f>C47/'Income Statemnt'!C6</f>
        <v>1.7028548906599814E-2</v>
      </c>
      <c r="Q10" s="210">
        <f>D47/'Income Statemnt'!D6</f>
        <v>1.3647223389530663E-2</v>
      </c>
      <c r="R10" s="210">
        <f>E47/'Income Statemnt'!E6</f>
        <v>1.1447370180670527E-2</v>
      </c>
      <c r="S10" s="210">
        <f>F47/'Income Statemnt'!F6</f>
        <v>1.3883083537349973E-2</v>
      </c>
      <c r="T10" s="210">
        <f>G47/'Income Statemnt'!G6</f>
        <v>1.6399162595952546E-2</v>
      </c>
      <c r="U10" s="210">
        <f>AVERAGE(Q10:T10)</f>
        <v>1.3844209925875928E-2</v>
      </c>
      <c r="V10" s="218"/>
    </row>
    <row r="11" spans="1:22">
      <c r="A11" s="89" t="s">
        <v>285</v>
      </c>
      <c r="B11" s="84" t="s">
        <v>286</v>
      </c>
      <c r="C11" s="16">
        <v>601.79999999999995</v>
      </c>
      <c r="D11" s="16">
        <v>515.79999999999995</v>
      </c>
      <c r="E11" s="16">
        <v>563</v>
      </c>
      <c r="F11" s="16">
        <v>546</v>
      </c>
      <c r="G11" s="16">
        <v>454</v>
      </c>
      <c r="H11" s="90"/>
      <c r="I11" s="90"/>
      <c r="J11" s="90"/>
      <c r="K11" s="90"/>
      <c r="L11" s="91"/>
      <c r="O11" s="215" t="s">
        <v>18</v>
      </c>
      <c r="P11" s="210">
        <f>C49/'Income Statemnt'!C29</f>
        <v>6.5332499478840941E-2</v>
      </c>
      <c r="Q11" s="210">
        <f>D49/'Income Statemnt'!D29</f>
        <v>3.2340469013436873E-2</v>
      </c>
      <c r="R11" s="210">
        <f>E49/'Income Statemnt'!E29</f>
        <v>3.2948465221064489E-2</v>
      </c>
      <c r="S11" s="210">
        <f>F49/'Income Statemnt'!F29</f>
        <v>1.9759450171821305E-2</v>
      </c>
      <c r="T11" s="210">
        <f>G49/'Income Statemnt'!G29</f>
        <v>9.7902097902097904E-2</v>
      </c>
      <c r="U11" s="210">
        <f>AVERAGE(P11:T11)</f>
        <v>4.9656596357452308E-2</v>
      </c>
      <c r="V11" s="218"/>
    </row>
    <row r="12" spans="1:22">
      <c r="A12" s="89" t="s">
        <v>287</v>
      </c>
      <c r="B12" s="84" t="s">
        <v>288</v>
      </c>
      <c r="C12" s="16">
        <v>44.3</v>
      </c>
      <c r="D12" s="16">
        <v>50.4</v>
      </c>
      <c r="E12" s="16">
        <v>18</v>
      </c>
      <c r="F12" s="16">
        <v>13</v>
      </c>
      <c r="G12" s="16">
        <v>11</v>
      </c>
      <c r="H12" s="90"/>
      <c r="I12" s="90"/>
      <c r="J12" s="90"/>
      <c r="K12" s="90"/>
      <c r="L12" s="91"/>
      <c r="O12" s="215" t="s">
        <v>19</v>
      </c>
      <c r="P12" s="210"/>
      <c r="Q12" s="210">
        <f>(D50-C50)/C50</f>
        <v>5.9352346999405823</v>
      </c>
      <c r="R12" s="210">
        <f>(E50-D50)/D50</f>
        <v>-0.24288896504455104</v>
      </c>
      <c r="S12" s="210">
        <f>(F50-E50)/E50</f>
        <v>6.2690958470069003E-2</v>
      </c>
      <c r="T12" s="210">
        <f>(G50-F50)/F50</f>
        <v>-0.87647747843680124</v>
      </c>
      <c r="U12" s="210">
        <f>AVERAGE(Q12:T12)</f>
        <v>1.2196398037323251</v>
      </c>
      <c r="V12" s="218"/>
    </row>
    <row r="13" spans="1:22">
      <c r="A13" s="89" t="s">
        <v>289</v>
      </c>
      <c r="B13" s="84" t="s">
        <v>290</v>
      </c>
      <c r="C13" s="16">
        <v>33.6</v>
      </c>
      <c r="D13" s="16">
        <v>34.299999999999997</v>
      </c>
      <c r="E13" s="16">
        <v>44.2</v>
      </c>
      <c r="F13" s="16">
        <v>36.299999999999997</v>
      </c>
      <c r="G13" s="16">
        <v>0</v>
      </c>
      <c r="H13" s="90"/>
      <c r="I13" s="90"/>
      <c r="J13" s="90"/>
      <c r="K13" s="90"/>
      <c r="L13" s="91"/>
      <c r="O13" s="215"/>
      <c r="P13" s="210"/>
      <c r="Q13" s="210"/>
      <c r="R13" s="210"/>
      <c r="S13" s="210"/>
      <c r="T13" s="210"/>
      <c r="U13" s="210"/>
      <c r="V13" s="218"/>
    </row>
    <row r="14" spans="1:22" ht="15" customHeight="1">
      <c r="A14" s="87" t="s">
        <v>291</v>
      </c>
      <c r="B14" s="88"/>
      <c r="C14" s="12">
        <v>11694</v>
      </c>
      <c r="D14" s="12">
        <f>SUM(D6:D13)</f>
        <v>11881.299999999997</v>
      </c>
      <c r="E14" s="12">
        <f>SUM(E6:E13)</f>
        <v>12968.2</v>
      </c>
      <c r="F14" s="12">
        <f>SUM(F6:F13)</f>
        <v>13159.3</v>
      </c>
      <c r="G14" s="197">
        <v>9896</v>
      </c>
      <c r="H14" s="208">
        <f>H6+H7+H8+H9+H10+H11+H12+H13</f>
        <v>8157.1019561030243</v>
      </c>
      <c r="I14" s="208">
        <f t="shared" ref="I14:L14" si="3">I6+I7+I8+I9+I10+I11+I12+I13</f>
        <v>9292.2892286011192</v>
      </c>
      <c r="J14" s="208">
        <f t="shared" si="3"/>
        <v>10624.817507013424</v>
      </c>
      <c r="K14" s="208">
        <f t="shared" si="3"/>
        <v>12187.699202382495</v>
      </c>
      <c r="L14" s="209">
        <f t="shared" si="3"/>
        <v>14019.503264429128</v>
      </c>
      <c r="O14" s="215"/>
      <c r="P14" s="166"/>
      <c r="Q14" s="210"/>
      <c r="R14" s="210"/>
      <c r="S14" s="210"/>
      <c r="T14" s="210"/>
      <c r="U14" s="210"/>
      <c r="V14" s="218"/>
    </row>
    <row r="15" spans="1:22" ht="15" customHeight="1">
      <c r="A15" s="92"/>
      <c r="B15" s="80"/>
      <c r="C15" s="80"/>
      <c r="D15" s="80"/>
      <c r="E15" s="80"/>
      <c r="F15" s="80"/>
      <c r="G15" s="80"/>
      <c r="H15" s="80"/>
      <c r="I15" s="80"/>
      <c r="J15" s="80"/>
      <c r="K15" s="80"/>
      <c r="L15" s="81"/>
      <c r="O15" s="214"/>
      <c r="P15" s="166">
        <v>2026</v>
      </c>
      <c r="Q15" s="166">
        <v>2027</v>
      </c>
      <c r="R15" s="166">
        <v>2028</v>
      </c>
      <c r="S15" s="166">
        <v>2029</v>
      </c>
      <c r="T15" s="166">
        <v>2030</v>
      </c>
      <c r="U15" s="166"/>
      <c r="V15" s="218"/>
    </row>
    <row r="16" spans="1:22">
      <c r="A16" s="82" t="s">
        <v>10</v>
      </c>
      <c r="B16" s="7"/>
      <c r="C16" s="7"/>
      <c r="D16" s="7"/>
      <c r="E16" s="7"/>
      <c r="F16" s="7"/>
      <c r="G16" s="7"/>
      <c r="H16" s="166"/>
      <c r="I16" s="151"/>
      <c r="J16" s="166"/>
      <c r="K16" s="166"/>
      <c r="L16" s="173"/>
      <c r="O16" s="214" t="s">
        <v>202</v>
      </c>
      <c r="P16" s="151">
        <v>2827</v>
      </c>
      <c r="Q16" s="166">
        <v>2826</v>
      </c>
      <c r="R16" s="166">
        <v>3488</v>
      </c>
      <c r="S16" s="166">
        <v>4170</v>
      </c>
      <c r="T16" s="166">
        <v>4880</v>
      </c>
      <c r="U16" s="166"/>
      <c r="V16" s="218"/>
    </row>
    <row r="17" spans="1:22">
      <c r="A17" s="89" t="s">
        <v>11</v>
      </c>
      <c r="B17" s="84" t="s">
        <v>292</v>
      </c>
      <c r="C17" s="16">
        <v>5741.1</v>
      </c>
      <c r="D17" s="16">
        <v>7124.4</v>
      </c>
      <c r="E17" s="16">
        <v>7503.6</v>
      </c>
      <c r="F17" s="16">
        <v>7422.9</v>
      </c>
      <c r="G17" s="16">
        <v>6042</v>
      </c>
      <c r="H17" s="90">
        <f>-'Income Statemnt'!H7*'Balance sheet'!$U$7</f>
        <v>6924.7818379054033</v>
      </c>
      <c r="I17" s="90">
        <f>-'Income Statemnt'!I7*'Balance sheet'!$U$7</f>
        <v>7084.0518201772275</v>
      </c>
      <c r="J17" s="90">
        <f>-'Income Statemnt'!J7*'Balance sheet'!$U$7</f>
        <v>7246.985012041303</v>
      </c>
      <c r="K17" s="90">
        <f>-'Income Statemnt'!K7*'Balance sheet'!$U$7</f>
        <v>7413.6656673182515</v>
      </c>
      <c r="L17" s="91">
        <f>-'Income Statemnt'!L7*'Balance sheet'!$U$7</f>
        <v>7584.1799776665703</v>
      </c>
      <c r="O17" s="214"/>
      <c r="P17" s="151">
        <f>'Cash flow'!H15+'Cash flow'!H32+'Cash flow'!H43</f>
        <v>1438.919972121598</v>
      </c>
      <c r="Q17" s="151">
        <f>'Cash flow'!I15+'Cash flow'!I32+'Cash flow'!I43</f>
        <v>2052.5934348999008</v>
      </c>
      <c r="R17" s="151">
        <f>'Cash flow'!J15+'Cash flow'!J32+'Cash flow'!J43</f>
        <v>2670.7777657767992</v>
      </c>
      <c r="S17" s="151">
        <f>'Cash flow'!K15+'Cash flow'!K32+'Cash flow'!K43</f>
        <v>3306.9201694695275</v>
      </c>
      <c r="T17" s="151">
        <f>'Cash flow'!L15+'Cash flow'!L32+'Cash flow'!L43</f>
        <v>3969.750508321169</v>
      </c>
      <c r="U17" s="166"/>
      <c r="V17" s="218"/>
    </row>
    <row r="18" spans="1:22">
      <c r="A18" s="89" t="s">
        <v>12</v>
      </c>
      <c r="B18" s="84" t="s">
        <v>293</v>
      </c>
      <c r="C18" s="16">
        <v>3295.1</v>
      </c>
      <c r="D18" s="16">
        <v>3955.6</v>
      </c>
      <c r="E18" s="16">
        <v>4632</v>
      </c>
      <c r="F18" s="16">
        <v>4277</v>
      </c>
      <c r="G18" s="16">
        <v>4170</v>
      </c>
      <c r="H18" s="90">
        <f>'Income Statemnt'!H6*$U$8</f>
        <v>4331.9668954869812</v>
      </c>
      <c r="I18" s="90">
        <f>'Income Statemnt'!I6*$U$8</f>
        <v>4462.7022469298272</v>
      </c>
      <c r="J18" s="90">
        <f>'Income Statemnt'!J6*$U$8</f>
        <v>4597.3830883843093</v>
      </c>
      <c r="K18" s="90">
        <f>'Income Statemnt'!K6*$U$8</f>
        <v>4736.1284916336917</v>
      </c>
      <c r="L18" s="91">
        <f>'Income Statemnt'!L6*$U$8</f>
        <v>4879.0611219539423</v>
      </c>
      <c r="O18" s="214"/>
      <c r="P18" s="166"/>
      <c r="Q18" s="166"/>
      <c r="R18" s="166"/>
      <c r="S18" s="166"/>
      <c r="T18" s="166"/>
      <c r="U18" s="166"/>
      <c r="V18" s="218"/>
    </row>
    <row r="19" spans="1:22">
      <c r="A19" s="89" t="s">
        <v>294</v>
      </c>
      <c r="B19" s="80"/>
      <c r="C19" s="16"/>
      <c r="D19" s="16"/>
      <c r="E19" s="16">
        <v>22</v>
      </c>
      <c r="F19" s="16">
        <v>67</v>
      </c>
      <c r="G19" s="16">
        <v>26</v>
      </c>
      <c r="H19" s="90"/>
      <c r="I19" s="90"/>
      <c r="J19" s="90"/>
      <c r="K19" s="90"/>
      <c r="L19" s="91"/>
      <c r="O19" s="216"/>
      <c r="P19" s="211"/>
      <c r="Q19" s="211"/>
      <c r="R19" s="211"/>
      <c r="S19" s="211"/>
      <c r="T19" s="211"/>
      <c r="U19" s="211"/>
      <c r="V19" s="219"/>
    </row>
    <row r="20" spans="1:22">
      <c r="A20" s="89" t="s">
        <v>295</v>
      </c>
      <c r="B20" s="84" t="s">
        <v>296</v>
      </c>
      <c r="C20" s="16"/>
      <c r="D20" s="16"/>
      <c r="E20" s="16">
        <v>35</v>
      </c>
      <c r="F20" s="16">
        <v>31</v>
      </c>
      <c r="G20" s="16">
        <v>1781</v>
      </c>
      <c r="H20" s="90"/>
      <c r="I20" s="90"/>
      <c r="J20" s="90"/>
      <c r="K20" s="90"/>
      <c r="L20" s="91"/>
      <c r="V20" s="65"/>
    </row>
    <row r="21" spans="1:22">
      <c r="A21" s="89" t="s">
        <v>13</v>
      </c>
      <c r="B21" s="84" t="s">
        <v>297</v>
      </c>
      <c r="C21" s="16">
        <v>2161.8000000000002</v>
      </c>
      <c r="D21" s="16">
        <v>1115.9000000000001</v>
      </c>
      <c r="E21" s="16">
        <v>844</v>
      </c>
      <c r="F21" s="16">
        <v>1625</v>
      </c>
      <c r="G21" s="17">
        <v>3069</v>
      </c>
      <c r="H21" s="17">
        <f>G21+P16</f>
        <v>5896</v>
      </c>
      <c r="I21" s="17">
        <f>H21+Q16</f>
        <v>8722</v>
      </c>
      <c r="J21" s="17">
        <f>I21+R16</f>
        <v>12210</v>
      </c>
      <c r="K21" s="17">
        <f>J21+S16</f>
        <v>16380</v>
      </c>
      <c r="L21" s="169">
        <f>K21+T16</f>
        <v>21260</v>
      </c>
      <c r="O21" s="65"/>
      <c r="P21" s="65"/>
      <c r="Q21" s="213"/>
      <c r="R21" s="212" t="s">
        <v>269</v>
      </c>
      <c r="S21" s="244">
        <v>2.3E-2</v>
      </c>
      <c r="T21" s="65"/>
      <c r="U21" s="65"/>
      <c r="V21" s="65"/>
    </row>
    <row r="22" spans="1:22" ht="15" customHeight="1" thickBot="1">
      <c r="A22" s="87" t="s">
        <v>14</v>
      </c>
      <c r="B22" s="88"/>
      <c r="C22" s="12">
        <v>11198</v>
      </c>
      <c r="D22" s="12">
        <v>12196</v>
      </c>
      <c r="E22" s="12">
        <v>13037</v>
      </c>
      <c r="F22" s="12">
        <v>13423</v>
      </c>
      <c r="G22" s="196">
        <v>15088</v>
      </c>
      <c r="H22" s="201">
        <f>I16+H18+H19+H20+H21+H23</f>
        <v>10227.966895486981</v>
      </c>
      <c r="I22" s="201">
        <f>I17+I18+I19+I20+I21+I23</f>
        <v>20268.754067107053</v>
      </c>
      <c r="J22" s="201">
        <f>J17+J18+J19+J20+J21+J23</f>
        <v>24054.368100425614</v>
      </c>
      <c r="K22" s="201">
        <f>K17+K18+K19+K20+K21+K23</f>
        <v>28529.794158951943</v>
      </c>
      <c r="L22" s="202">
        <f>L17+L18+L19+L20+L21+L23</f>
        <v>33723.241099620514</v>
      </c>
      <c r="Q22" s="214" t="s">
        <v>272</v>
      </c>
      <c r="R22" s="166">
        <f>-(G17/'Income Statemnt'!G7)*365</f>
        <v>93.367061812023707</v>
      </c>
      <c r="S22" s="218"/>
    </row>
    <row r="23" spans="1:22" ht="15.75" thickTop="1">
      <c r="A23" s="89" t="s">
        <v>298</v>
      </c>
      <c r="B23" s="84" t="s">
        <v>299</v>
      </c>
      <c r="C23" s="16"/>
      <c r="D23" s="16">
        <v>0</v>
      </c>
      <c r="E23" s="16">
        <v>0</v>
      </c>
      <c r="F23" s="16">
        <v>40.9</v>
      </c>
      <c r="G23" s="16">
        <v>1971</v>
      </c>
      <c r="H23" s="90"/>
      <c r="I23" s="90"/>
      <c r="J23" s="90"/>
      <c r="K23" s="90"/>
      <c r="L23" s="91"/>
      <c r="P23" s="97"/>
      <c r="Q23" s="214" t="s">
        <v>276</v>
      </c>
      <c r="R23" s="166">
        <f>(-G45/'Income Statemnt'!G7)*365</f>
        <v>97.245766299745981</v>
      </c>
      <c r="S23" s="218"/>
      <c r="T23" s="65"/>
      <c r="U23" s="65"/>
      <c r="V23" s="65"/>
    </row>
    <row r="24" spans="1:22" ht="15" customHeight="1">
      <c r="A24" s="92"/>
      <c r="B24" s="80"/>
      <c r="C24" s="80"/>
      <c r="D24" s="80"/>
      <c r="E24" s="80"/>
      <c r="F24" s="80"/>
      <c r="G24" s="80"/>
      <c r="H24" s="80"/>
      <c r="I24" s="80"/>
      <c r="J24" s="80"/>
      <c r="K24" s="80"/>
      <c r="L24" s="81"/>
      <c r="P24" s="120"/>
      <c r="Q24" s="216" t="s">
        <v>279</v>
      </c>
      <c r="R24" s="211">
        <f>(G18/'Income Statemnt'!G6)*365</f>
        <v>44.25593161200279</v>
      </c>
      <c r="S24" s="219"/>
    </row>
    <row r="25" spans="1:22" ht="15" customHeight="1" thickBot="1">
      <c r="A25" s="87" t="s">
        <v>300</v>
      </c>
      <c r="B25" s="88"/>
      <c r="C25" s="12">
        <v>22890.3</v>
      </c>
      <c r="D25" s="12">
        <v>24077.200000000001</v>
      </c>
      <c r="E25" s="12">
        <v>26005</v>
      </c>
      <c r="F25" s="12">
        <v>26623</v>
      </c>
      <c r="G25" s="12">
        <v>26955</v>
      </c>
      <c r="H25" s="198">
        <f>H14+H22</f>
        <v>18385.068851590004</v>
      </c>
      <c r="I25" s="199">
        <f>I14+I22</f>
        <v>29561.043295708172</v>
      </c>
      <c r="J25" s="199">
        <f>J14+J22</f>
        <v>34679.185607439038</v>
      </c>
      <c r="K25" s="199">
        <f>K14+K22</f>
        <v>40717.49336133444</v>
      </c>
      <c r="L25" s="200">
        <f>L14+L22</f>
        <v>47742.744364049642</v>
      </c>
    </row>
    <row r="26" spans="1:22" ht="15" customHeight="1" thickTop="1">
      <c r="A26" s="92"/>
      <c r="B26" s="80"/>
      <c r="C26" s="80"/>
      <c r="D26" s="80"/>
      <c r="E26" s="80"/>
      <c r="F26" s="80"/>
      <c r="G26" s="80"/>
      <c r="H26" s="80"/>
      <c r="I26" s="80"/>
      <c r="J26" s="80"/>
      <c r="K26" s="80"/>
      <c r="L26" s="81"/>
    </row>
    <row r="27" spans="1:22">
      <c r="A27" s="82" t="s">
        <v>301</v>
      </c>
      <c r="B27" s="7"/>
      <c r="C27" s="74"/>
      <c r="D27" s="74"/>
      <c r="E27" s="74"/>
      <c r="F27" s="74"/>
      <c r="G27" s="74"/>
      <c r="H27" s="166"/>
      <c r="I27" s="166"/>
      <c r="J27" s="166"/>
      <c r="K27" s="166"/>
      <c r="L27" s="173"/>
    </row>
    <row r="28" spans="1:22">
      <c r="A28" s="89" t="s">
        <v>302</v>
      </c>
      <c r="B28" s="84" t="s">
        <v>253</v>
      </c>
      <c r="C28" s="67">
        <v>142</v>
      </c>
      <c r="D28" s="59">
        <v>18</v>
      </c>
      <c r="E28" s="59">
        <v>18</v>
      </c>
      <c r="F28" s="59">
        <v>18</v>
      </c>
      <c r="G28" s="68">
        <v>17</v>
      </c>
      <c r="H28" s="24"/>
      <c r="I28" s="24"/>
      <c r="J28" s="24"/>
      <c r="K28" s="24"/>
      <c r="L28" s="95"/>
    </row>
    <row r="29" spans="1:22">
      <c r="A29" s="89" t="s">
        <v>303</v>
      </c>
      <c r="B29" s="80"/>
      <c r="C29" s="69">
        <v>2188.6999999999998</v>
      </c>
      <c r="D29" s="16">
        <v>2158</v>
      </c>
      <c r="E29" s="16">
        <v>3028</v>
      </c>
      <c r="F29" s="16">
        <v>3234</v>
      </c>
      <c r="G29" s="70">
        <v>361</v>
      </c>
      <c r="H29" s="24"/>
      <c r="I29" s="24"/>
      <c r="J29" s="24"/>
      <c r="K29" s="24"/>
      <c r="L29" s="95"/>
    </row>
    <row r="30" spans="1:22">
      <c r="A30" s="89" t="s">
        <v>304</v>
      </c>
      <c r="B30" s="80"/>
      <c r="C30" s="69">
        <v>14776.7</v>
      </c>
      <c r="D30" s="16">
        <v>14867.6</v>
      </c>
      <c r="E30" s="16">
        <v>15968</v>
      </c>
      <c r="F30" s="16">
        <v>16849</v>
      </c>
      <c r="G30" s="70">
        <v>18330</v>
      </c>
      <c r="H30" s="24"/>
      <c r="I30" s="24"/>
      <c r="J30" s="24"/>
      <c r="K30" s="24"/>
      <c r="L30" s="95"/>
    </row>
    <row r="31" spans="1:22">
      <c r="A31" s="89" t="s">
        <v>305</v>
      </c>
      <c r="B31" s="84" t="s">
        <v>306</v>
      </c>
      <c r="C31" s="69">
        <v>-718</v>
      </c>
      <c r="D31" s="16">
        <v>-718</v>
      </c>
      <c r="E31" s="16">
        <v>-718</v>
      </c>
      <c r="F31" s="16">
        <v>-933.4</v>
      </c>
      <c r="G31" s="70">
        <v>-813</v>
      </c>
      <c r="H31" s="24"/>
      <c r="I31" s="24"/>
      <c r="J31" s="24"/>
      <c r="K31" s="24"/>
      <c r="L31" s="95"/>
    </row>
    <row r="32" spans="1:22">
      <c r="A32" s="89" t="s">
        <v>307</v>
      </c>
      <c r="B32" s="84" t="s">
        <v>306</v>
      </c>
      <c r="C32" s="69">
        <v>-1475.5</v>
      </c>
      <c r="D32" s="16">
        <v>-1469.3</v>
      </c>
      <c r="E32" s="17">
        <v>-1473</v>
      </c>
      <c r="F32" s="16">
        <v>-1452.8</v>
      </c>
      <c r="G32" s="70">
        <v>-1456</v>
      </c>
      <c r="H32" s="24"/>
      <c r="I32" s="24"/>
      <c r="J32" s="24"/>
      <c r="K32" s="24"/>
      <c r="L32" s="95"/>
      <c r="O32" s="8"/>
    </row>
    <row r="33" spans="1:21">
      <c r="A33" s="89" t="s">
        <v>308</v>
      </c>
      <c r="B33" s="84" t="s">
        <v>309</v>
      </c>
      <c r="C33" s="71">
        <v>699.5</v>
      </c>
      <c r="D33" s="72">
        <v>752.6</v>
      </c>
      <c r="E33" s="72">
        <v>518</v>
      </c>
      <c r="F33" s="72">
        <v>505</v>
      </c>
      <c r="G33" s="73">
        <v>545</v>
      </c>
      <c r="H33" s="24"/>
      <c r="I33" s="24"/>
      <c r="J33" s="24"/>
      <c r="K33" s="24"/>
      <c r="L33" s="95"/>
    </row>
    <row r="34" spans="1:21">
      <c r="A34" s="170" t="s">
        <v>310</v>
      </c>
      <c r="B34" s="84"/>
      <c r="C34" s="75"/>
      <c r="D34" s="75"/>
      <c r="E34" s="75">
        <v>17341</v>
      </c>
      <c r="F34" s="75">
        <v>18210</v>
      </c>
      <c r="G34" s="75">
        <v>16984</v>
      </c>
      <c r="H34" s="24"/>
      <c r="I34" s="24"/>
      <c r="J34" s="24"/>
      <c r="K34" s="24"/>
      <c r="L34" s="95"/>
    </row>
    <row r="35" spans="1:21">
      <c r="A35" s="89" t="s">
        <v>192</v>
      </c>
      <c r="B35" s="80"/>
      <c r="C35" s="16">
        <v>147.4</v>
      </c>
      <c r="D35" s="16">
        <v>142.30000000000001</v>
      </c>
      <c r="E35" s="16">
        <v>200.5</v>
      </c>
      <c r="F35" s="16">
        <v>217.4</v>
      </c>
      <c r="G35" s="16">
        <v>255</v>
      </c>
      <c r="H35" s="24"/>
      <c r="I35" s="24"/>
      <c r="J35" s="24"/>
      <c r="K35" s="24"/>
      <c r="L35" s="95"/>
    </row>
    <row r="36" spans="1:21" ht="15" customHeight="1">
      <c r="A36" s="87" t="s">
        <v>311</v>
      </c>
      <c r="B36" s="88"/>
      <c r="C36" s="12">
        <v>15760.8</v>
      </c>
      <c r="D36" s="12">
        <v>15751.2</v>
      </c>
      <c r="E36" s="12">
        <v>17542</v>
      </c>
      <c r="F36" s="12">
        <v>18427</v>
      </c>
      <c r="G36" s="12">
        <v>17239</v>
      </c>
      <c r="H36" s="24"/>
      <c r="I36" s="24"/>
      <c r="J36" s="24"/>
      <c r="K36" s="24"/>
      <c r="L36" s="95"/>
      <c r="Q36" s="14"/>
      <c r="R36" s="14"/>
      <c r="S36" s="14"/>
      <c r="T36" s="14"/>
      <c r="U36" s="14"/>
    </row>
    <row r="37" spans="1:21" ht="15" customHeight="1">
      <c r="A37" s="92"/>
      <c r="B37" s="80"/>
      <c r="C37" s="80"/>
      <c r="D37" s="80"/>
      <c r="E37" s="171"/>
      <c r="F37" s="80"/>
      <c r="G37" s="24"/>
      <c r="H37" s="80"/>
      <c r="I37" s="80"/>
      <c r="J37" s="80"/>
      <c r="K37" s="80"/>
      <c r="L37" s="81"/>
    </row>
    <row r="38" spans="1:21">
      <c r="A38" s="82" t="s">
        <v>312</v>
      </c>
      <c r="B38" s="7"/>
      <c r="C38" s="7"/>
      <c r="D38" s="7"/>
      <c r="E38" s="7"/>
      <c r="F38" s="7"/>
      <c r="G38" s="7"/>
      <c r="H38" s="166"/>
      <c r="I38" s="166"/>
      <c r="J38" s="166"/>
      <c r="K38" s="166"/>
      <c r="L38" s="173"/>
    </row>
    <row r="39" spans="1:21">
      <c r="A39" s="89" t="s">
        <v>313</v>
      </c>
      <c r="B39" s="84" t="s">
        <v>290</v>
      </c>
      <c r="C39" s="16">
        <v>183.1</v>
      </c>
      <c r="D39" s="16">
        <v>240.7</v>
      </c>
      <c r="E39" s="16">
        <v>312</v>
      </c>
      <c r="F39" s="16">
        <v>360</v>
      </c>
      <c r="G39" s="16">
        <v>257</v>
      </c>
      <c r="H39" s="171"/>
      <c r="I39" s="171"/>
      <c r="J39" s="171"/>
      <c r="K39" s="171"/>
      <c r="L39" s="172"/>
    </row>
    <row r="40" spans="1:21">
      <c r="A40" s="89" t="s">
        <v>314</v>
      </c>
      <c r="B40" s="84" t="s">
        <v>315</v>
      </c>
      <c r="C40" s="16">
        <v>563.79999999999995</v>
      </c>
      <c r="D40" s="16">
        <v>322.89999999999998</v>
      </c>
      <c r="E40" s="16">
        <v>216</v>
      </c>
      <c r="F40" s="16">
        <v>228</v>
      </c>
      <c r="G40" s="16">
        <v>245</v>
      </c>
      <c r="H40" s="171"/>
      <c r="I40" s="171"/>
      <c r="J40" s="171"/>
      <c r="K40" s="171"/>
      <c r="L40" s="172"/>
    </row>
    <row r="41" spans="1:21">
      <c r="A41" s="89" t="s">
        <v>316</v>
      </c>
      <c r="B41" s="84" t="s">
        <v>255</v>
      </c>
      <c r="C41" s="16">
        <v>399</v>
      </c>
      <c r="D41" s="16">
        <v>326.5</v>
      </c>
      <c r="E41" s="16">
        <v>1211</v>
      </c>
      <c r="F41" s="16">
        <v>303</v>
      </c>
      <c r="G41" s="16">
        <v>241</v>
      </c>
      <c r="H41" s="90">
        <f>G41</f>
        <v>241</v>
      </c>
      <c r="I41" s="90">
        <f t="shared" ref="I41:L41" si="4">H41</f>
        <v>241</v>
      </c>
      <c r="J41" s="90">
        <f t="shared" si="4"/>
        <v>241</v>
      </c>
      <c r="K41" s="90">
        <f t="shared" si="4"/>
        <v>241</v>
      </c>
      <c r="L41" s="91">
        <f t="shared" si="4"/>
        <v>241</v>
      </c>
    </row>
    <row r="42" spans="1:21" ht="15" customHeight="1" thickBot="1">
      <c r="A42" s="87" t="s">
        <v>317</v>
      </c>
      <c r="B42" s="88"/>
      <c r="C42" s="12">
        <v>1145.9000000000001</v>
      </c>
      <c r="D42" s="12">
        <v>890.1</v>
      </c>
      <c r="E42" s="12">
        <v>1739</v>
      </c>
      <c r="F42" s="12">
        <v>891</v>
      </c>
      <c r="G42" s="12">
        <v>743</v>
      </c>
      <c r="H42" s="203">
        <f>H39+H40+H41</f>
        <v>241</v>
      </c>
      <c r="I42" s="201">
        <f t="shared" ref="I42:L42" si="5">I39+I40+I41</f>
        <v>241</v>
      </c>
      <c r="J42" s="201">
        <f t="shared" si="5"/>
        <v>241</v>
      </c>
      <c r="K42" s="201">
        <f t="shared" si="5"/>
        <v>241</v>
      </c>
      <c r="L42" s="202">
        <f t="shared" si="5"/>
        <v>241</v>
      </c>
    </row>
    <row r="43" spans="1:21" ht="15" customHeight="1" thickTop="1">
      <c r="A43" s="92"/>
      <c r="B43" s="80"/>
      <c r="C43" s="80"/>
      <c r="D43" s="80"/>
      <c r="E43" s="80"/>
      <c r="F43" s="80"/>
      <c r="G43" s="80"/>
      <c r="H43" s="80"/>
      <c r="I43" s="80"/>
      <c r="J43" s="80"/>
      <c r="K43" s="80"/>
      <c r="L43" s="81"/>
    </row>
    <row r="44" spans="1:21">
      <c r="A44" s="82" t="s">
        <v>15</v>
      </c>
      <c r="B44" s="7"/>
      <c r="C44" s="7"/>
      <c r="D44" s="7"/>
      <c r="E44" s="7"/>
      <c r="F44" s="7"/>
      <c r="G44" s="7"/>
      <c r="H44" s="166"/>
      <c r="I44" s="166"/>
      <c r="J44" s="166"/>
      <c r="K44" s="166"/>
      <c r="L44" s="173"/>
    </row>
    <row r="45" spans="1:21">
      <c r="A45" s="89" t="s">
        <v>16</v>
      </c>
      <c r="B45" s="84" t="s">
        <v>318</v>
      </c>
      <c r="C45" s="16">
        <v>5131.5</v>
      </c>
      <c r="D45" s="16">
        <v>5677.7</v>
      </c>
      <c r="E45" s="16">
        <v>4373</v>
      </c>
      <c r="F45" s="16">
        <v>4880</v>
      </c>
      <c r="G45" s="16">
        <v>6293</v>
      </c>
      <c r="H45" s="90">
        <f>-'Income Statemnt'!H7*$U$9</f>
        <v>5274.2017067570341</v>
      </c>
      <c r="I45" s="90">
        <f>-'Income Statemnt'!I7*$U$9</f>
        <v>5395.5083460124451</v>
      </c>
      <c r="J45" s="90">
        <f>-'Income Statemnt'!J7*$U$9</f>
        <v>5519.6050379707303</v>
      </c>
      <c r="K45" s="90">
        <f>-'Income Statemnt'!K7*$U$9</f>
        <v>5646.5559538440566</v>
      </c>
      <c r="L45" s="91">
        <f>-'Income Statemnt'!L7*$U$9</f>
        <v>5776.4267407824691</v>
      </c>
    </row>
    <row r="46" spans="1:21">
      <c r="A46" s="89" t="s">
        <v>319</v>
      </c>
      <c r="B46" s="84" t="s">
        <v>320</v>
      </c>
      <c r="C46" s="16"/>
      <c r="D46" s="16"/>
      <c r="E46" s="16">
        <v>900</v>
      </c>
      <c r="F46" s="16">
        <v>929</v>
      </c>
      <c r="G46" s="16">
        <v>1040</v>
      </c>
      <c r="H46" s="90"/>
      <c r="I46" s="90"/>
      <c r="J46" s="90"/>
      <c r="K46" s="90"/>
      <c r="L46" s="91"/>
    </row>
    <row r="47" spans="1:21">
      <c r="A47" s="89" t="s">
        <v>17</v>
      </c>
      <c r="B47" s="84" t="s">
        <v>321</v>
      </c>
      <c r="C47" s="16">
        <v>527.1</v>
      </c>
      <c r="D47" s="16">
        <v>464.4</v>
      </c>
      <c r="E47" s="16">
        <v>428</v>
      </c>
      <c r="F47" s="16">
        <v>465</v>
      </c>
      <c r="G47" s="16">
        <v>564</v>
      </c>
      <c r="H47" s="90">
        <f>'Income Statemnt'!H6*'Balance sheet'!$U$10</f>
        <v>490.49929847914984</v>
      </c>
      <c r="I47" s="90">
        <f>'Income Statemnt'!I6*'Balance sheet'!$U$10</f>
        <v>505.30218126109042</v>
      </c>
      <c r="J47" s="90">
        <f>'Income Statemnt'!J6*'Balance sheet'!$U$10</f>
        <v>520.55180339482069</v>
      </c>
      <c r="K47" s="90">
        <f>'Income Statemnt'!K6*'Balance sheet'!$U$10</f>
        <v>536.26164712237266</v>
      </c>
      <c r="L47" s="91">
        <f>'Income Statemnt'!L6*'Balance sheet'!$U$10</f>
        <v>552.44560156923171</v>
      </c>
    </row>
    <row r="48" spans="1:21">
      <c r="A48" s="89" t="s">
        <v>322</v>
      </c>
      <c r="B48" s="84" t="s">
        <v>315</v>
      </c>
      <c r="C48" s="16"/>
      <c r="D48" s="16"/>
      <c r="E48" s="16">
        <v>22</v>
      </c>
      <c r="F48" s="16">
        <v>23</v>
      </c>
      <c r="G48" s="16">
        <v>25</v>
      </c>
      <c r="H48" s="90"/>
      <c r="I48" s="90"/>
      <c r="J48" s="90"/>
      <c r="K48" s="90"/>
      <c r="L48" s="91"/>
    </row>
    <row r="49" spans="1:12">
      <c r="A49" s="89" t="s">
        <v>18</v>
      </c>
      <c r="B49" s="80"/>
      <c r="C49" s="16">
        <v>156.69999999999999</v>
      </c>
      <c r="D49" s="16">
        <v>126.6</v>
      </c>
      <c r="E49" s="16">
        <v>117</v>
      </c>
      <c r="F49" s="16">
        <v>69</v>
      </c>
      <c r="G49" s="16">
        <v>588</v>
      </c>
      <c r="H49" s="90">
        <f>'Income Statemnt'!H29*'Balance sheet'!$U11</f>
        <v>222.44189739711035</v>
      </c>
      <c r="I49" s="90">
        <f>'Income Statemnt'!I29*'Balance sheet'!$U11</f>
        <v>235.19753670395264</v>
      </c>
      <c r="J49" s="90">
        <f>'Income Statemnt'!J29*'Balance sheet'!$U11</f>
        <v>249.05875604904429</v>
      </c>
      <c r="K49" s="90">
        <f>'Income Statemnt'!K29*'Balance sheet'!$U11</f>
        <v>263.77747609851451</v>
      </c>
      <c r="L49" s="91">
        <f>'Income Statemnt'!L29*'Balance sheet'!$U11</f>
        <v>279.50386272127196</v>
      </c>
    </row>
    <row r="50" spans="1:12">
      <c r="A50" s="89" t="s">
        <v>19</v>
      </c>
      <c r="B50" s="84" t="s">
        <v>257</v>
      </c>
      <c r="C50" s="16">
        <v>168.3</v>
      </c>
      <c r="D50" s="16">
        <v>1167.2</v>
      </c>
      <c r="E50" s="16">
        <v>883.7</v>
      </c>
      <c r="F50" s="16">
        <v>939.1</v>
      </c>
      <c r="G50" s="16">
        <v>116</v>
      </c>
      <c r="H50" s="90">
        <f>G50</f>
        <v>116</v>
      </c>
      <c r="I50" s="90">
        <f t="shared" ref="I50:K50" si="6">H50</f>
        <v>116</v>
      </c>
      <c r="J50" s="90">
        <f t="shared" si="6"/>
        <v>116</v>
      </c>
      <c r="K50" s="90">
        <f t="shared" si="6"/>
        <v>116</v>
      </c>
      <c r="L50" s="91">
        <f t="shared" ref="L50" si="7">K50</f>
        <v>116</v>
      </c>
    </row>
    <row r="51" spans="1:12" ht="15" customHeight="1" thickBot="1">
      <c r="A51" s="87" t="s">
        <v>20</v>
      </c>
      <c r="B51" s="88"/>
      <c r="C51" s="12">
        <v>5983.6</v>
      </c>
      <c r="D51" s="12">
        <v>7435.9</v>
      </c>
      <c r="E51" s="12">
        <v>6761</v>
      </c>
      <c r="F51" s="12">
        <v>7305</v>
      </c>
      <c r="G51" s="204">
        <v>8626</v>
      </c>
      <c r="H51" s="201">
        <f>H45+H46+H47+H48+H49+H50+H52</f>
        <v>6103.1429026332944</v>
      </c>
      <c r="I51" s="201">
        <f>I45+I46+I47+I48+I49+I50+I52</f>
        <v>6252.0080639774878</v>
      </c>
      <c r="J51" s="201">
        <f>J45+J46+J47+J48+J49+J50+J52</f>
        <v>6405.2155974145953</v>
      </c>
      <c r="K51" s="201">
        <f>K45+K46+K47+K48+K49+K50+K52</f>
        <v>6562.5950770649442</v>
      </c>
      <c r="L51" s="202">
        <f>L45+L46+L47+L48+L49+L50+L52</f>
        <v>6724.376205072972</v>
      </c>
    </row>
    <row r="52" spans="1:12" ht="15.75" thickTop="1">
      <c r="A52" s="89" t="s">
        <v>323</v>
      </c>
      <c r="B52" s="84" t="s">
        <v>299</v>
      </c>
      <c r="C52" s="16"/>
      <c r="D52" s="16">
        <v>0</v>
      </c>
      <c r="E52" s="16">
        <v>0</v>
      </c>
      <c r="F52" s="16">
        <v>0</v>
      </c>
      <c r="G52" s="16">
        <v>347</v>
      </c>
      <c r="H52" s="90"/>
      <c r="I52" s="90"/>
      <c r="J52" s="90"/>
      <c r="K52" s="90"/>
      <c r="L52" s="91"/>
    </row>
    <row r="53" spans="1:12" ht="15" customHeight="1">
      <c r="A53" s="149" t="s">
        <v>324</v>
      </c>
      <c r="B53" s="96"/>
      <c r="C53" s="150">
        <v>22890.3</v>
      </c>
      <c r="D53" s="150">
        <v>24077.200000000001</v>
      </c>
      <c r="E53" s="150">
        <v>26005</v>
      </c>
      <c r="F53" s="150">
        <v>26623</v>
      </c>
      <c r="G53" s="150">
        <v>26955</v>
      </c>
      <c r="H53" s="205">
        <f>H51+H42+H36</f>
        <v>6344.1429026332944</v>
      </c>
      <c r="I53" s="206">
        <f>I51+I42+I36</f>
        <v>6493.0080639774878</v>
      </c>
      <c r="J53" s="206">
        <f>J51+J42+J36</f>
        <v>6646.2155974145953</v>
      </c>
      <c r="K53" s="206">
        <f>K51+K42+K36</f>
        <v>6803.5950770649442</v>
      </c>
      <c r="L53" s="207">
        <f>L51+L42+L36</f>
        <v>6965.376205072972</v>
      </c>
    </row>
    <row r="54" spans="1:12">
      <c r="A54" s="8"/>
      <c r="B54" s="9"/>
      <c r="C54" s="16"/>
      <c r="D54" s="16"/>
      <c r="E54" s="16"/>
      <c r="F54" s="16"/>
      <c r="G54" s="16"/>
      <c r="H54" s="15"/>
      <c r="I54" s="15"/>
      <c r="J54" s="15"/>
      <c r="K54" s="15"/>
      <c r="L54" s="15"/>
    </row>
    <row r="55" spans="1:12" ht="15" customHeight="1"/>
    <row r="56" spans="1:12" ht="15" customHeight="1"/>
    <row r="57" spans="1:12" ht="28.35" customHeight="1">
      <c r="A57" s="320" t="s">
        <v>196</v>
      </c>
      <c r="B57" s="320"/>
      <c r="C57" s="320"/>
      <c r="D57" s="320"/>
      <c r="E57" s="320"/>
      <c r="F57" s="320"/>
      <c r="G57" s="320"/>
      <c r="H57" s="320"/>
      <c r="I57" s="320"/>
      <c r="J57" s="320"/>
      <c r="K57" s="320"/>
      <c r="L57" s="320"/>
    </row>
    <row r="82" spans="15:15">
      <c r="O82" s="65"/>
    </row>
  </sheetData>
  <mergeCells count="5">
    <mergeCell ref="A2:G2"/>
    <mergeCell ref="A3:G3"/>
    <mergeCell ref="H3:L3"/>
    <mergeCell ref="A57:L57"/>
    <mergeCell ref="A1:L1"/>
  </mergeCells>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Fixed Assts</vt:lpstr>
      <vt:lpstr>Net Working Capital</vt:lpstr>
      <vt:lpstr>WACC</vt:lpstr>
      <vt:lpstr>DCF</vt:lpstr>
      <vt:lpstr>Scenario Analysis</vt:lpstr>
      <vt:lpstr>Free Cash Flow</vt:lpstr>
      <vt:lpstr>Financial Analysis</vt:lpstr>
      <vt:lpstr>Data &amp; Calculations&gt;&gt;</vt:lpstr>
      <vt:lpstr>Income Statemnt</vt:lpstr>
      <vt:lpstr>Cash flow</vt:lpstr>
      <vt:lpstr>Balance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Mamello Malape</dc:creator>
  <cp:keywords/>
  <dc:description/>
  <cp:lastModifiedBy>Mamello Malape</cp:lastModifiedBy>
  <cp:revision>0</cp:revision>
  <dcterms:created xsi:type="dcterms:W3CDTF">2026-05-21T08:21:45Z</dcterms:created>
  <dcterms:modified xsi:type="dcterms:W3CDTF">2026-05-31T14:13:24Z</dcterms:modified>
  <cp:category/>
  <cp:contentStatus/>
</cp:coreProperties>
</file>